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ya\Downloads\"/>
    </mc:Choice>
  </mc:AlternateContent>
  <xr:revisionPtr revIDLastSave="0" documentId="13_ncr:1_{8C7D98CA-F790-4D46-A051-D1454F2DFC89}" xr6:coauthVersionLast="47" xr6:coauthVersionMax="47" xr10:uidLastSave="{00000000-0000-0000-0000-000000000000}"/>
  <bookViews>
    <workbookView xWindow="-108" yWindow="-108" windowWidth="23256" windowHeight="12456" tabRatio="760" firstSheet="2" activeTab="5" xr2:uid="{F171149E-D4BE-4085-997C-09A8AC4B2C23}"/>
  </bookViews>
  <sheets>
    <sheet name="Raw_Campaign_Overview" sheetId="1" r:id="rId1"/>
    <sheet name="Raw_Channel_Spend" sheetId="2" r:id="rId2"/>
    <sheet name="Raw_Campaign_ROI" sheetId="3" r:id="rId3"/>
    <sheet name="Raw_Channel_ROI" sheetId="4" r:id="rId4"/>
    <sheet name="Raw_Efficiency_Score" sheetId="5" r:id="rId5"/>
    <sheet name="Summary_Dashboard" sheetId="6" r:id="rId6"/>
  </sheets>
  <definedNames>
    <definedName name="_xlchart.v1.0" hidden="1">Raw_Campaign_ROI!$A$2:$A$11</definedName>
    <definedName name="_xlchart.v1.1" hidden="1">Raw_Campaign_ROI!$E$2:$E$11</definedName>
    <definedName name="ExternalData_1" localSheetId="0" hidden="1">Raw_Campaign_Overview!$A$1:$G$51</definedName>
    <definedName name="ExternalData_1" localSheetId="2" hidden="1">Raw_Campaign_ROI!$A$1:$E$51</definedName>
    <definedName name="ExternalData_1" localSheetId="3" hidden="1">Raw_Channel_ROI!$A$1:$G$6</definedName>
    <definedName name="ExternalData_1" localSheetId="1" hidden="1">Raw_Channel_Spend!$A$1:$D$6</definedName>
    <definedName name="ExternalData_1" localSheetId="4" hidden="1">Raw_Efficiency_Score!$A$1:$H$51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9" i="6" l="1"/>
  <c r="K18" i="6"/>
  <c r="K17" i="6"/>
  <c r="K16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H15" i="6"/>
  <c r="G15" i="6"/>
  <c r="F15" i="6"/>
  <c r="E15" i="6"/>
  <c r="D15" i="6"/>
  <c r="C15" i="6"/>
  <c r="B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15" i="6"/>
  <c r="I6" i="6"/>
  <c r="I7" i="6"/>
  <c r="I8" i="6"/>
  <c r="I9" i="6"/>
  <c r="H6" i="6"/>
  <c r="H7" i="6"/>
  <c r="H8" i="6"/>
  <c r="H9" i="6"/>
  <c r="G6" i="6"/>
  <c r="J6" i="6" s="1"/>
  <c r="G7" i="6"/>
  <c r="J7" i="6" s="1"/>
  <c r="G8" i="6"/>
  <c r="J8" i="6" s="1"/>
  <c r="G9" i="6"/>
  <c r="J9" i="6" s="1"/>
  <c r="F6" i="6"/>
  <c r="F7" i="6"/>
  <c r="F8" i="6"/>
  <c r="F9" i="6"/>
  <c r="E6" i="6"/>
  <c r="E7" i="6"/>
  <c r="E8" i="6"/>
  <c r="E9" i="6"/>
  <c r="I5" i="6"/>
  <c r="H5" i="6"/>
  <c r="G5" i="6"/>
  <c r="J5" i="6" s="1"/>
  <c r="F5" i="6"/>
  <c r="F10" i="6" s="1"/>
  <c r="E5" i="6"/>
  <c r="E10" i="6" s="1"/>
  <c r="D6" i="6"/>
  <c r="D7" i="6"/>
  <c r="D8" i="6"/>
  <c r="D9" i="6"/>
  <c r="D5" i="6"/>
  <c r="B7" i="6"/>
  <c r="B8" i="6"/>
  <c r="B6" i="6"/>
  <c r="B5" i="6"/>
  <c r="B4" i="6"/>
  <c r="D7" i="2"/>
  <c r="B7" i="2"/>
  <c r="G10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21910D-6E8B-4106-BF88-CB5C7D050A5A}" keepAlive="1" name="Query - 1_Campaign_Performance_Overview" description="Connection to the '1_Campaign_Performance_Overview' query in the workbook." type="5" refreshedVersion="8" background="1" saveData="1">
    <dbPr connection="Provider=Microsoft.Mashup.OleDb.1;Data Source=$Workbook$;Location=1_Campaign_Performance_Overview;Extended Properties=&quot;&quot;" command="SELECT * FROM [1_Campaign_Performance_Overview]"/>
  </connection>
  <connection id="2" xr16:uid="{63385065-4A3A-41E6-870D-09B578D19C89}" keepAlive="1" name="Query - 10_Campaign_Efficiency_Score" description="Connection to the '10_Campaign_Efficiency_Score' query in the workbook." type="5" refreshedVersion="8" background="1" saveData="1">
    <dbPr connection="Provider=Microsoft.Mashup.OleDb.1;Data Source=$Workbook$;Location=10_Campaign_Efficiency_Score;Extended Properties=&quot;&quot;" command="SELECT * FROM [10_Campaign_Efficiency_Score]"/>
  </connection>
  <connection id="3" xr16:uid="{E75CB57F-8073-4066-A907-22CC51DB1D5D}" keepAlive="1" name="Query - 3_Channel_Wise_Total_Spend_And_Revenue" description="Connection to the '3_Channel_Wise_Total_Spend_And_Revenue' query in the workbook." type="5" refreshedVersion="8" background="1" saveData="1">
    <dbPr connection="Provider=Microsoft.Mashup.OleDb.1;Data Source=$Workbook$;Location=3_Channel_Wise_Total_Spend_And_Revenue;Extended Properties=&quot;&quot;" command="SELECT * FROM [3_Channel_Wise_Total_Spend_And_Revenue]"/>
  </connection>
  <connection id="4" xr16:uid="{C2CA4F69-B4C8-41CB-B730-A86D84B50151}" keepAlive="1" name="Query - 4_ROI_Calculation_Per_Campaign" description="Connection to the '4_ROI_Calculation_Per_Campaign' query in the workbook." type="5" refreshedVersion="8" background="1" saveData="1">
    <dbPr connection="Provider=Microsoft.Mashup.OleDb.1;Data Source=$Workbook$;Location=4_ROI_Calculation_Per_Campaign;Extended Properties=&quot;&quot;" command="SELECT * FROM [4_ROI_Calculation_Per_Campaign]"/>
  </connection>
  <connection id="5" xr16:uid="{49492DFF-4551-43BC-8A4C-F1E718AA79A2}" keepAlive="1" name="Query - 8_Channel_Wise_ROI_Comparison" description="Connection to the '8_Channel_Wise_ROI_Comparison' query in the workbook." type="5" refreshedVersion="8" background="1" saveData="1">
    <dbPr connection="Provider=Microsoft.Mashup.OleDb.1;Data Source=$Workbook$;Location=8_Channel_Wise_ROI_Comparison;Extended Properties=&quot;&quot;" command="SELECT * FROM [8_Channel_Wise_ROI_Comparison]"/>
  </connection>
</connections>
</file>

<file path=xl/sharedStrings.xml><?xml version="1.0" encoding="utf-8"?>
<sst xmlns="http://schemas.openxmlformats.org/spreadsheetml/2006/main" count="423" uniqueCount="104">
  <si>
    <t>campaign_id</t>
  </si>
  <si>
    <t>campaign_name</t>
  </si>
  <si>
    <t>channel_name</t>
  </si>
  <si>
    <t>Budget</t>
  </si>
  <si>
    <t>Actual_Cost</t>
  </si>
  <si>
    <t>Revenue</t>
  </si>
  <si>
    <t>Variance</t>
  </si>
  <si>
    <t>February Influencer Campaign</t>
  </si>
  <si>
    <t>Influencer</t>
  </si>
  <si>
    <t>August Influencer Campaign</t>
  </si>
  <si>
    <t>Navratri Influencer</t>
  </si>
  <si>
    <t>Diwali Influencer Campaign</t>
  </si>
  <si>
    <t>Year End Influencer</t>
  </si>
  <si>
    <t>Independence Day Paid Ads</t>
  </si>
  <si>
    <t>Paid Ads</t>
  </si>
  <si>
    <t>Holi Social Media</t>
  </si>
  <si>
    <t>Social Media</t>
  </si>
  <si>
    <t>Holi Paid Ads</t>
  </si>
  <si>
    <t>April Social Media</t>
  </si>
  <si>
    <t>April Google Ads</t>
  </si>
  <si>
    <t>May Social Media Boost</t>
  </si>
  <si>
    <t>May Influencer Campaign</t>
  </si>
  <si>
    <t>Holi Email Blast</t>
  </si>
  <si>
    <t>Email</t>
  </si>
  <si>
    <t>Valentine Social Media</t>
  </si>
  <si>
    <t>Valentine Paid Ads</t>
  </si>
  <si>
    <t>New Year Sale Email Blast</t>
  </si>
  <si>
    <t>New Year Social Media Push</t>
  </si>
  <si>
    <t>January Google Ads</t>
  </si>
  <si>
    <t>Diwali Email Campaign</t>
  </si>
  <si>
    <t>Diwali Social Media</t>
  </si>
  <si>
    <t>Diwali Paid Ads</t>
  </si>
  <si>
    <t>September Social Media</t>
  </si>
  <si>
    <t>Navratri Email Blast</t>
  </si>
  <si>
    <t>Navratri Social Media</t>
  </si>
  <si>
    <t>Navratri Paid Ads</t>
  </si>
  <si>
    <t>June Paid Ads</t>
  </si>
  <si>
    <t>July Social Media</t>
  </si>
  <si>
    <t>July Google Ads</t>
  </si>
  <si>
    <t>Independence Day Email</t>
  </si>
  <si>
    <t>Independence Day Social</t>
  </si>
  <si>
    <t>Year End Social Media</t>
  </si>
  <si>
    <t>Black Friday Social Media</t>
  </si>
  <si>
    <t>Black Friday Paid Ads</t>
  </si>
  <si>
    <t>December Email Newsletter</t>
  </si>
  <si>
    <t>Christmas Social Media</t>
  </si>
  <si>
    <t>Christmas Paid Ads</t>
  </si>
  <si>
    <t>Year End Email Blast</t>
  </si>
  <si>
    <t>Year End SMS Campaign</t>
  </si>
  <si>
    <t>SMS</t>
  </si>
  <si>
    <t>November Email Campaign</t>
  </si>
  <si>
    <t>Mid Year SMS Blast</t>
  </si>
  <si>
    <t>July Email Campaign</t>
  </si>
  <si>
    <t>September Email Campaign</t>
  </si>
  <si>
    <t>September SMS Campaign</t>
  </si>
  <si>
    <t>Diwali SMS Blast</t>
  </si>
  <si>
    <t>January SMS Campaign</t>
  </si>
  <si>
    <t>Valentine Email Campaign</t>
  </si>
  <si>
    <t>June Email Campaign</t>
  </si>
  <si>
    <t>May Day Email Campaign</t>
  </si>
  <si>
    <t>Holi SMS Campaign</t>
  </si>
  <si>
    <t>April Email Newsletter</t>
  </si>
  <si>
    <t>Total_Budget</t>
  </si>
  <si>
    <t>Total_Actual_Cost</t>
  </si>
  <si>
    <t>Total_revenue</t>
  </si>
  <si>
    <t>ROI_Pct</t>
  </si>
  <si>
    <t>Total_Revenue</t>
  </si>
  <si>
    <t>Overall_ROI_Pct</t>
  </si>
  <si>
    <t>Avg_CTR_Pct</t>
  </si>
  <si>
    <t>Avg_Conversion_Rate</t>
  </si>
  <si>
    <t>ROI</t>
  </si>
  <si>
    <t>CTR</t>
  </si>
  <si>
    <t>Conv_Rate</t>
  </si>
  <si>
    <t>CPA</t>
  </si>
  <si>
    <t>Total_Score</t>
  </si>
  <si>
    <t>Efficiency_Rating</t>
  </si>
  <si>
    <t>Highly Efficient</t>
  </si>
  <si>
    <t>Efficient</t>
  </si>
  <si>
    <t>Average</t>
  </si>
  <si>
    <t>Marketing Campaign ROI Tracker — 2024</t>
  </si>
  <si>
    <t>KPI Summary</t>
  </si>
  <si>
    <t>Total Campaigns</t>
  </si>
  <si>
    <t>Total Budget</t>
  </si>
  <si>
    <t>Total Revenue</t>
  </si>
  <si>
    <t>Overall ROI%</t>
  </si>
  <si>
    <t>Best Channel</t>
  </si>
  <si>
    <t>Channel Performance Summary</t>
  </si>
  <si>
    <t>Channel</t>
  </si>
  <si>
    <t>Overall ROI %</t>
  </si>
  <si>
    <t>Avg CTR %</t>
  </si>
  <si>
    <t>Avg Conversion %</t>
  </si>
  <si>
    <t>Ranking</t>
  </si>
  <si>
    <t>Total</t>
  </si>
  <si>
    <t>Campaign Efficiency Analysis</t>
  </si>
  <si>
    <t>Campaign Name</t>
  </si>
  <si>
    <t>ROI%</t>
  </si>
  <si>
    <t>CTR%</t>
  </si>
  <si>
    <t>Conversion Rate%</t>
  </si>
  <si>
    <t>Efficiency Score</t>
  </si>
  <si>
    <t>Efficiency Rating</t>
  </si>
  <si>
    <t>Inefficient</t>
  </si>
  <si>
    <t>Rating</t>
  </si>
  <si>
    <t>Count Formula</t>
  </si>
  <si>
    <t>Count campaigns per efficiency rating: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</si>
</sst>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"/>
    <numFmt numFmtId="165" formatCode="_ &quot;₹&quot;\ * #,##0_ ;_ &quot;₹&quot;\ * \-#,##0_ ;_ &quot;₹&quot;\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4" fillId="0" borderId="0" xfId="0" applyFont="1"/>
    <xf numFmtId="2" fontId="0" fillId="0" borderId="0" xfId="0" applyNumberForma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0" fontId="0" fillId="5" borderId="0" xfId="0" applyFill="1"/>
    <xf numFmtId="49" fontId="0" fillId="5" borderId="0" xfId="0" applyNumberFormat="1" applyFill="1"/>
    <xf numFmtId="0" fontId="2" fillId="6" borderId="0" xfId="0" applyFont="1" applyFill="1"/>
    <xf numFmtId="44" fontId="0" fillId="0" borderId="0" xfId="1" applyFont="1"/>
    <xf numFmtId="165" fontId="0" fillId="0" borderId="0" xfId="1" applyNumberFormat="1" applyFont="1"/>
    <xf numFmtId="165" fontId="0" fillId="0" borderId="0" xfId="0" applyNumberFormat="1"/>
    <xf numFmtId="0" fontId="3" fillId="0" borderId="0" xfId="0" applyFont="1" applyAlignment="1">
      <alignment horizontal="center"/>
    </xf>
    <xf numFmtId="0" fontId="5" fillId="0" borderId="0" xfId="0" applyFont="1"/>
  </cellXfs>
  <cellStyles count="2">
    <cellStyle name="Currency" xfId="1" builtinId="4"/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8AA2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Channel ROI Comparison - 2024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31-4F59-AE9C-E026F75CE64C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31-4F59-AE9C-E026F75CE64C}"/>
              </c:ext>
            </c:extLst>
          </c:dPt>
          <c:dPt>
            <c:idx val="2"/>
            <c:invertIfNegative val="0"/>
            <c:bubble3D val="0"/>
            <c:spPr>
              <a:solidFill>
                <a:srgbClr val="E8AA2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1-4F59-AE9C-E026F75CE64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31-4F59-AE9C-E026F75CE64C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1-4F59-AE9C-E026F75CE6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Summary_Dashboard!$D$5:$D$9</c:f>
              <c:strCache>
                <c:ptCount val="5"/>
                <c:pt idx="0">
                  <c:v>Email</c:v>
                </c:pt>
                <c:pt idx="1">
                  <c:v>Paid Ads</c:v>
                </c:pt>
                <c:pt idx="2">
                  <c:v>Social Media</c:v>
                </c:pt>
                <c:pt idx="3">
                  <c:v>Influencer</c:v>
                </c:pt>
                <c:pt idx="4">
                  <c:v>SMS</c:v>
                </c:pt>
              </c:strCache>
            </c:strRef>
          </c:cat>
          <c:val>
            <c:numRef>
              <c:f>Summary_Dashboard!$G$5:$G$9</c:f>
              <c:numCache>
                <c:formatCode>0.00</c:formatCode>
                <c:ptCount val="5"/>
                <c:pt idx="0">
                  <c:v>462.2</c:v>
                </c:pt>
                <c:pt idx="1">
                  <c:v>316.16000000000003</c:v>
                </c:pt>
                <c:pt idx="2">
                  <c:v>287.27999999999997</c:v>
                </c:pt>
                <c:pt idx="3">
                  <c:v>196.51</c:v>
                </c:pt>
                <c:pt idx="4">
                  <c:v>20.59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1-4F59-AE9C-E026F75CE6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57020447"/>
        <c:axId val="857019487"/>
      </c:barChart>
      <c:catAx>
        <c:axId val="85702044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019487"/>
        <c:crosses val="autoZero"/>
        <c:auto val="1"/>
        <c:lblAlgn val="ctr"/>
        <c:lblOffset val="100"/>
        <c:noMultiLvlLbl val="0"/>
      </c:catAx>
      <c:valAx>
        <c:axId val="85701948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Overall ROI%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02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Campaign Efficiency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Summary_Dashboard!$K$15</c:f>
              <c:strCache>
                <c:ptCount val="1"/>
                <c:pt idx="0">
                  <c:v>Count Formula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F5-4155-8D34-B657476AD94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9F5-4155-8D34-B657476AD94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F5-4155-8D34-B657476AD9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2"/>
              <c:layout>
                <c:manualLayout>
                  <c:x val="8.1064413823272091E-2"/>
                  <c:y val="9.048191892680081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F5-4155-8D34-B657476AD9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Summary_Dashboard!$J$16:$J$19</c:f>
              <c:strCache>
                <c:ptCount val="4"/>
                <c:pt idx="0">
                  <c:v>Highly Efficient</c:v>
                </c:pt>
                <c:pt idx="1">
                  <c:v>Efficient</c:v>
                </c:pt>
                <c:pt idx="2">
                  <c:v>Average</c:v>
                </c:pt>
                <c:pt idx="3">
                  <c:v>Inefficient</c:v>
                </c:pt>
              </c:strCache>
            </c:strRef>
          </c:cat>
          <c:val>
            <c:numRef>
              <c:f>Summary_Dashboard!$K$16:$K$19</c:f>
              <c:numCache>
                <c:formatCode>General</c:formatCode>
                <c:ptCount val="4"/>
                <c:pt idx="0">
                  <c:v>29</c:v>
                </c:pt>
                <c:pt idx="1">
                  <c:v>14</c:v>
                </c:pt>
                <c:pt idx="2">
                  <c:v>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5-4155-8D34-B657476AD94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Campaigns by ROI - 2024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Raw_Campaign_ROI!$A$2:$A$11</c:f>
              <c:strCache>
                <c:ptCount val="10"/>
                <c:pt idx="0">
                  <c:v>New Year Sale Email Blast</c:v>
                </c:pt>
                <c:pt idx="1">
                  <c:v>Valentine Email Campaign</c:v>
                </c:pt>
                <c:pt idx="2">
                  <c:v>Holi Email Blast</c:v>
                </c:pt>
                <c:pt idx="3">
                  <c:v>Diwali Email Campaign</c:v>
                </c:pt>
                <c:pt idx="4">
                  <c:v>Navratri Email Blast</c:v>
                </c:pt>
                <c:pt idx="5">
                  <c:v>Independence Day Email</c:v>
                </c:pt>
                <c:pt idx="6">
                  <c:v>April Email Newsletter</c:v>
                </c:pt>
                <c:pt idx="7">
                  <c:v>May Day Email Campaign</c:v>
                </c:pt>
                <c:pt idx="8">
                  <c:v>Diwali Social Media</c:v>
                </c:pt>
                <c:pt idx="9">
                  <c:v>Year End Email Blast</c:v>
                </c:pt>
              </c:strCache>
            </c:strRef>
          </c:cat>
          <c:val>
            <c:numRef>
              <c:f>Raw_Campaign_ROI!$E$2:$E$11</c:f>
              <c:numCache>
                <c:formatCode>General</c:formatCode>
                <c:ptCount val="10"/>
                <c:pt idx="0">
                  <c:v>566.66999999999996</c:v>
                </c:pt>
                <c:pt idx="1">
                  <c:v>554.54999999999995</c:v>
                </c:pt>
                <c:pt idx="2">
                  <c:v>541.51</c:v>
                </c:pt>
                <c:pt idx="3">
                  <c:v>526.51</c:v>
                </c:pt>
                <c:pt idx="4">
                  <c:v>517.65</c:v>
                </c:pt>
                <c:pt idx="5">
                  <c:v>500</c:v>
                </c:pt>
                <c:pt idx="6">
                  <c:v>494.87</c:v>
                </c:pt>
                <c:pt idx="7">
                  <c:v>453.19</c:v>
                </c:pt>
                <c:pt idx="8">
                  <c:v>415.63</c:v>
                </c:pt>
                <c:pt idx="9">
                  <c:v>404.11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C-40DD-AC56-08042460F6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0423487"/>
        <c:axId val="620892527"/>
      </c:barChart>
      <c:catAx>
        <c:axId val="850423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Campaign Names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892527"/>
        <c:crosses val="autoZero"/>
        <c:auto val="1"/>
        <c:lblAlgn val="ctr"/>
        <c:lblOffset val="100"/>
        <c:noMultiLvlLbl val="0"/>
      </c:catAx>
      <c:valAx>
        <c:axId val="62089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ROI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42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65</xdr:row>
      <xdr:rowOff>0</xdr:rowOff>
    </xdr:from>
    <xdr:to>
      <xdr:col>5</xdr:col>
      <xdr:colOff>396240</xdr:colOff>
      <xdr:row>80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C5B538-E055-15F4-6DE7-D0E7A548E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</xdr:colOff>
      <xdr:row>65</xdr:row>
      <xdr:rowOff>7620</xdr:rowOff>
    </xdr:from>
    <xdr:to>
      <xdr:col>11</xdr:col>
      <xdr:colOff>350520</xdr:colOff>
      <xdr:row>80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CB91FC-AA71-3E8C-C657-3F66A8E43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</xdr:colOff>
      <xdr:row>80</xdr:row>
      <xdr:rowOff>175260</xdr:rowOff>
    </xdr:from>
    <xdr:to>
      <xdr:col>11</xdr:col>
      <xdr:colOff>358140</xdr:colOff>
      <xdr:row>96</xdr:row>
      <xdr:rowOff>175260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817D0947-0369-2EA2-BB02-A553BD380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054B42-5656-49E5-BCA2-259294A7598B}" autoFormatId="16" applyNumberFormats="0" applyBorderFormats="0" applyFontFormats="0" applyPatternFormats="0" applyAlignmentFormats="0" applyWidthHeightFormats="0">
  <queryTableRefresh nextId="8">
    <queryTableFields count="7">
      <queryTableField id="1" name="campaign_id" tableColumnId="1"/>
      <queryTableField id="2" name="campaign_name" tableColumnId="2"/>
      <queryTableField id="3" name="channel_name" tableColumnId="3"/>
      <queryTableField id="4" name="Budget" tableColumnId="4"/>
      <queryTableField id="5" name="Actual_Cost" tableColumnId="5"/>
      <queryTableField id="6" name="Revenue" tableColumnId="6"/>
      <queryTableField id="7" name="Varianc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6A7412D-988E-4FD3-BFFA-1A22243CD65F}" autoFormatId="16" applyNumberFormats="0" applyBorderFormats="0" applyFontFormats="0" applyPatternFormats="0" applyAlignmentFormats="0" applyWidthHeightFormats="0">
  <queryTableRefresh nextId="5">
    <queryTableFields count="4">
      <queryTableField id="1" name="channel_name" tableColumnId="1"/>
      <queryTableField id="2" name="Total_Budget" tableColumnId="2"/>
      <queryTableField id="3" name="Total_Actual_Cost" tableColumnId="3"/>
      <queryTableField id="4" name="Total_revenu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3BEB7DC-C4A9-47F3-893B-65A85047E380}" autoFormatId="16" applyNumberFormats="0" applyBorderFormats="0" applyFontFormats="0" applyPatternFormats="0" applyAlignmentFormats="0" applyWidthHeightFormats="0">
  <queryTableRefresh nextId="6">
    <queryTableFields count="5">
      <queryTableField id="1" name="campaign_name" tableColumnId="1"/>
      <queryTableField id="2" name="channel_name" tableColumnId="2"/>
      <queryTableField id="3" name="Actual_Cost" tableColumnId="3"/>
      <queryTableField id="4" name="Revenue" tableColumnId="4"/>
      <queryTableField id="5" name="ROI_Pc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64A10D0-A51F-4E9A-8689-34E7A8FE867F}" autoFormatId="16" applyNumberFormats="0" applyBorderFormats="0" applyFontFormats="0" applyPatternFormats="0" applyAlignmentFormats="0" applyWidthHeightFormats="0">
  <queryTableRefresh nextId="8">
    <queryTableFields count="7">
      <queryTableField id="1" name="channel_name" tableColumnId="1"/>
      <queryTableField id="2" name="Total_Budget" tableColumnId="2"/>
      <queryTableField id="3" name="Total_Actual_Cost" tableColumnId="3"/>
      <queryTableField id="4" name="Total_Revenue" tableColumnId="4"/>
      <queryTableField id="5" name="Overall_ROI_Pct" tableColumnId="5"/>
      <queryTableField id="6" name="Avg_CTR_Pct" tableColumnId="6"/>
      <queryTableField id="7" name="Avg_Conversion_Rat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B99FEDD-24E8-49A2-81F2-4AF899C41B01}" autoFormatId="16" applyNumberFormats="0" applyBorderFormats="0" applyFontFormats="0" applyPatternFormats="0" applyAlignmentFormats="0" applyWidthHeightFormats="0">
  <queryTableRefresh nextId="9">
    <queryTableFields count="8">
      <queryTableField id="1" name="campaign_name" tableColumnId="1"/>
      <queryTableField id="2" name="channel_name" tableColumnId="2"/>
      <queryTableField id="3" name="ROI" tableColumnId="3"/>
      <queryTableField id="4" name="CTR" tableColumnId="4"/>
      <queryTableField id="5" name="Conv_Rate" tableColumnId="5"/>
      <queryTableField id="6" name="CPA" tableColumnId="6"/>
      <queryTableField id="7" name="Total_Score" tableColumnId="7"/>
      <queryTableField id="8" name="Efficiency_Rating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A2046A-0798-4CE2-890D-0547B599FAFD}" name="_1_Campaign_Performance_Overview" displayName="_1_Campaign_Performance_Overview" ref="A1:G51" tableType="queryTable" totalsRowShown="0">
  <autoFilter ref="A1:G51" xr:uid="{79A2046A-0798-4CE2-890D-0547B599FAFD}"/>
  <tableColumns count="7">
    <tableColumn id="1" xr3:uid="{096B7FCF-E153-4594-94A6-1E00DF407D2E}" uniqueName="1" name="campaign_id" queryTableFieldId="1"/>
    <tableColumn id="2" xr3:uid="{41316C96-0237-4D63-AB5F-D026E6F60353}" uniqueName="2" name="campaign_name" queryTableFieldId="2" dataDxfId="13"/>
    <tableColumn id="3" xr3:uid="{6E9959BC-B08D-4F19-903F-AFE8F6B00D9C}" uniqueName="3" name="channel_name" queryTableFieldId="3" dataDxfId="12"/>
    <tableColumn id="4" xr3:uid="{37C99012-F15D-45CC-A1C9-1709E28819DE}" uniqueName="4" name="Budget" queryTableFieldId="4"/>
    <tableColumn id="5" xr3:uid="{4DEE3F4A-A233-4AB5-9189-0EB7387F77FF}" uniqueName="5" name="Actual_Cost" queryTableFieldId="5"/>
    <tableColumn id="6" xr3:uid="{442D334F-0D3C-4833-9B22-268C2735429D}" uniqueName="6" name="Revenue" queryTableFieldId="6"/>
    <tableColumn id="7" xr3:uid="{72E66EA9-036F-40B6-9C34-BA1E49CB1577}" uniqueName="7" name="Varianc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76CE38-0031-4B0C-A5AC-780863AE5497}" name="_3_Channel_Wise_Total_Spend_And_Revenue" displayName="_3_Channel_Wise_Total_Spend_And_Revenue" ref="A1:D7" tableType="queryTable" totalsRowCount="1">
  <autoFilter ref="A1:D6" xr:uid="{3776CE38-0031-4B0C-A5AC-780863AE5497}"/>
  <tableColumns count="4">
    <tableColumn id="1" xr3:uid="{60007B26-5C1E-49F6-AFD5-B99B3BD7A3DC}" uniqueName="1" name="channel_name" queryTableFieldId="1" dataDxfId="11"/>
    <tableColumn id="2" xr3:uid="{1AC837A1-8670-402E-93F3-7DCE27753B11}" uniqueName="2" name="Total_Budget" totalsRowFunction="sum" queryTableFieldId="2"/>
    <tableColumn id="3" xr3:uid="{9A5A20EF-424A-4994-BFDA-1AA1805B5586}" uniqueName="3" name="Total_Actual_Cost" queryTableFieldId="3"/>
    <tableColumn id="4" xr3:uid="{71E16904-66E1-4348-BE3D-D6A38D53A240}" uniqueName="4" name="Total_revenue" totalsRowFunction="sum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B6EEF1-D67C-4952-B1E7-018D7D909C77}" name="_4_ROI_Calculation_Per_Campaign" displayName="_4_ROI_Calculation_Per_Campaign" ref="A1:E51" tableType="queryTable" totalsRowShown="0">
  <autoFilter ref="A1:E51" xr:uid="{4BB6EEF1-D67C-4952-B1E7-018D7D909C77}"/>
  <sortState xmlns:xlrd2="http://schemas.microsoft.com/office/spreadsheetml/2017/richdata2" ref="A2:E51">
    <sortCondition descending="1" ref="E2:E51"/>
  </sortState>
  <tableColumns count="5">
    <tableColumn id="1" xr3:uid="{9AA37061-4D67-448E-A16B-1F558CA465D7}" uniqueName="1" name="campaign_name" queryTableFieldId="1" dataDxfId="10"/>
    <tableColumn id="2" xr3:uid="{9F82DF8A-0450-498C-9C4A-83164D570709}" uniqueName="2" name="channel_name" queryTableFieldId="2" dataDxfId="9"/>
    <tableColumn id="3" xr3:uid="{87C2E288-EC15-4FA2-A152-D0FA40E98A54}" uniqueName="3" name="Actual_Cost" queryTableFieldId="3"/>
    <tableColumn id="4" xr3:uid="{9949B0E9-48DF-4660-938D-D6A738DFE537}" uniqueName="4" name="Revenue" queryTableFieldId="4"/>
    <tableColumn id="5" xr3:uid="{831AAF97-BE93-4F15-8388-DEA44856D24D}" uniqueName="5" name="ROI_Pct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59B50F-D835-4828-9D67-E201CC8AD436}" name="_8_Channel_Wise_ROI_Comparison" displayName="_8_Channel_Wise_ROI_Comparison" ref="A1:G6" tableType="queryTable" totalsRowShown="0">
  <autoFilter ref="A1:G6" xr:uid="{6359B50F-D835-4828-9D67-E201CC8AD436}"/>
  <sortState xmlns:xlrd2="http://schemas.microsoft.com/office/spreadsheetml/2017/richdata2" ref="A2:G6">
    <sortCondition descending="1" ref="E2:E6"/>
  </sortState>
  <tableColumns count="7">
    <tableColumn id="1" xr3:uid="{F319C902-08B4-4700-9F7E-D0E03971C8AD}" uniqueName="1" name="channel_name" queryTableFieldId="1" dataDxfId="8"/>
    <tableColumn id="2" xr3:uid="{C38574FE-6A4D-4604-953F-E2B356453BB4}" uniqueName="2" name="Total_Budget" queryTableFieldId="2"/>
    <tableColumn id="3" xr3:uid="{2DECBF9C-3F45-47E4-AFB3-D82C20CB8E5C}" uniqueName="3" name="Total_Actual_Cost" queryTableFieldId="3"/>
    <tableColumn id="4" xr3:uid="{6137FEB8-E674-4161-ACB5-A31A985E6121}" uniqueName="4" name="Total_Revenue" queryTableFieldId="4"/>
    <tableColumn id="5" xr3:uid="{3830E95B-E744-46DC-BFD8-396F8F674D24}" uniqueName="5" name="Overall_ROI_Pct" queryTableFieldId="5"/>
    <tableColumn id="6" xr3:uid="{AC56FAB6-AC1D-4A67-8E22-941F2BE4359D}" uniqueName="6" name="Avg_CTR_Pct" queryTableFieldId="6"/>
    <tableColumn id="7" xr3:uid="{9792972A-27DB-40CB-BEB2-5D67087CA1C7}" uniqueName="7" name="Avg_Conversion_Rat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F098A8-DA16-442F-B613-B8DE0CA25CD5}" name="_10_Campaign_Efficiency_Score" displayName="_10_Campaign_Efficiency_Score" ref="A1:H51" tableType="queryTable" totalsRowShown="0">
  <autoFilter ref="A1:H51" xr:uid="{7BF098A8-DA16-442F-B613-B8DE0CA25CD5}"/>
  <tableColumns count="8">
    <tableColumn id="1" xr3:uid="{B14A0CB5-36D5-4E9E-A68D-3825561228B0}" uniqueName="1" name="campaign_name" queryTableFieldId="1" dataDxfId="7"/>
    <tableColumn id="2" xr3:uid="{866774CE-A4AC-43CA-9A0D-AD92C66D437B}" uniqueName="2" name="channel_name" queryTableFieldId="2" dataDxfId="6"/>
    <tableColumn id="3" xr3:uid="{6CD26A52-05E8-472D-A8B7-D5122B869DFB}" uniqueName="3" name="ROI" queryTableFieldId="3"/>
    <tableColumn id="4" xr3:uid="{F1DFB058-4B3E-4008-AF97-8741568A3AF2}" uniqueName="4" name="CTR" queryTableFieldId="4"/>
    <tableColumn id="5" xr3:uid="{3EE06A65-621D-4422-B4A4-8ABB61F05495}" uniqueName="5" name="Conv_Rate" queryTableFieldId="5"/>
    <tableColumn id="6" xr3:uid="{72F1D73A-9A49-4242-A4CA-E0CBA7B45947}" uniqueName="6" name="CPA" queryTableFieldId="6"/>
    <tableColumn id="7" xr3:uid="{B38E4B68-419F-4341-9506-C0B7DCBFF767}" uniqueName="7" name="Total_Score" queryTableFieldId="7"/>
    <tableColumn id="8" xr3:uid="{C1A7ADF9-536C-43FF-913F-E92F28D8FC36}" uniqueName="8" name="Efficiency_Rating" queryTableFieldId="8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32B6-9073-400B-93C9-62CD557E9571}">
  <dimension ref="A1:G51"/>
  <sheetViews>
    <sheetView workbookViewId="0"/>
  </sheetViews>
  <sheetFormatPr defaultRowHeight="14.4" x14ac:dyDescent="0.3"/>
  <cols>
    <col min="1" max="1" width="14" bestFit="1" customWidth="1"/>
    <col min="2" max="2" width="25.6640625" bestFit="1" customWidth="1"/>
    <col min="3" max="3" width="15.77734375" bestFit="1" customWidth="1"/>
    <col min="4" max="4" width="9.21875" bestFit="1" customWidth="1"/>
    <col min="5" max="5" width="13.21875" bestFit="1" customWidth="1"/>
    <col min="6" max="7" width="10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8</v>
      </c>
      <c r="B2" t="s">
        <v>7</v>
      </c>
      <c r="C2" t="s">
        <v>8</v>
      </c>
      <c r="D2">
        <v>200000</v>
      </c>
      <c r="E2">
        <v>195000</v>
      </c>
      <c r="F2">
        <v>560000</v>
      </c>
      <c r="G2">
        <v>5000</v>
      </c>
    </row>
    <row r="3" spans="1:7" x14ac:dyDescent="0.3">
      <c r="A3">
        <v>28</v>
      </c>
      <c r="B3" t="s">
        <v>9</v>
      </c>
      <c r="C3" t="s">
        <v>8</v>
      </c>
      <c r="D3">
        <v>220000</v>
      </c>
      <c r="E3">
        <v>215000</v>
      </c>
      <c r="F3">
        <v>600000</v>
      </c>
      <c r="G3">
        <v>5000</v>
      </c>
    </row>
    <row r="4" spans="1:7" x14ac:dyDescent="0.3">
      <c r="A4">
        <v>35</v>
      </c>
      <c r="B4" t="s">
        <v>10</v>
      </c>
      <c r="C4" t="s">
        <v>8</v>
      </c>
      <c r="D4">
        <v>250000</v>
      </c>
      <c r="E4">
        <v>245000</v>
      </c>
      <c r="F4">
        <v>740000</v>
      </c>
      <c r="G4">
        <v>5000</v>
      </c>
    </row>
    <row r="5" spans="1:7" x14ac:dyDescent="0.3">
      <c r="A5">
        <v>40</v>
      </c>
      <c r="B5" t="s">
        <v>11</v>
      </c>
      <c r="C5" t="s">
        <v>8</v>
      </c>
      <c r="D5">
        <v>300000</v>
      </c>
      <c r="E5">
        <v>295000</v>
      </c>
      <c r="F5">
        <v>920000</v>
      </c>
      <c r="G5">
        <v>5000</v>
      </c>
    </row>
    <row r="6" spans="1:7" x14ac:dyDescent="0.3">
      <c r="A6">
        <v>50</v>
      </c>
      <c r="B6" t="s">
        <v>12</v>
      </c>
      <c r="C6" t="s">
        <v>8</v>
      </c>
      <c r="D6">
        <v>280000</v>
      </c>
      <c r="E6">
        <v>275000</v>
      </c>
      <c r="F6">
        <v>840000</v>
      </c>
      <c r="G6">
        <v>5000</v>
      </c>
    </row>
    <row r="7" spans="1:7" x14ac:dyDescent="0.3">
      <c r="A7">
        <v>27</v>
      </c>
      <c r="B7" t="s">
        <v>13</v>
      </c>
      <c r="C7" t="s">
        <v>14</v>
      </c>
      <c r="D7">
        <v>175000</v>
      </c>
      <c r="E7">
        <v>172000</v>
      </c>
      <c r="F7">
        <v>720000</v>
      </c>
      <c r="G7">
        <v>3000</v>
      </c>
    </row>
    <row r="8" spans="1:7" x14ac:dyDescent="0.3">
      <c r="A8">
        <v>10</v>
      </c>
      <c r="B8" t="s">
        <v>15</v>
      </c>
      <c r="C8" t="s">
        <v>16</v>
      </c>
      <c r="D8">
        <v>95000</v>
      </c>
      <c r="E8">
        <v>92000</v>
      </c>
      <c r="F8">
        <v>315000</v>
      </c>
      <c r="G8">
        <v>3000</v>
      </c>
    </row>
    <row r="9" spans="1:7" x14ac:dyDescent="0.3">
      <c r="A9">
        <v>11</v>
      </c>
      <c r="B9" t="s">
        <v>17</v>
      </c>
      <c r="C9" t="s">
        <v>14</v>
      </c>
      <c r="D9">
        <v>130000</v>
      </c>
      <c r="E9">
        <v>128000</v>
      </c>
      <c r="F9">
        <v>520000</v>
      </c>
      <c r="G9">
        <v>2000</v>
      </c>
    </row>
    <row r="10" spans="1:7" x14ac:dyDescent="0.3">
      <c r="A10">
        <v>14</v>
      </c>
      <c r="B10" t="s">
        <v>18</v>
      </c>
      <c r="C10" t="s">
        <v>16</v>
      </c>
      <c r="D10">
        <v>75000</v>
      </c>
      <c r="E10">
        <v>73000</v>
      </c>
      <c r="F10">
        <v>234000</v>
      </c>
      <c r="G10">
        <v>2000</v>
      </c>
    </row>
    <row r="11" spans="1:7" x14ac:dyDescent="0.3">
      <c r="A11">
        <v>15</v>
      </c>
      <c r="B11" t="s">
        <v>19</v>
      </c>
      <c r="C11" t="s">
        <v>14</v>
      </c>
      <c r="D11">
        <v>110000</v>
      </c>
      <c r="E11">
        <v>108000</v>
      </c>
      <c r="F11">
        <v>392000</v>
      </c>
      <c r="G11">
        <v>2000</v>
      </c>
    </row>
    <row r="12" spans="1:7" x14ac:dyDescent="0.3">
      <c r="A12">
        <v>17</v>
      </c>
      <c r="B12" t="s">
        <v>20</v>
      </c>
      <c r="C12" t="s">
        <v>16</v>
      </c>
      <c r="D12">
        <v>85000</v>
      </c>
      <c r="E12">
        <v>83000</v>
      </c>
      <c r="F12">
        <v>264000</v>
      </c>
      <c r="G12">
        <v>2000</v>
      </c>
    </row>
    <row r="13" spans="1:7" x14ac:dyDescent="0.3">
      <c r="A13">
        <v>18</v>
      </c>
      <c r="B13" t="s">
        <v>21</v>
      </c>
      <c r="C13" t="s">
        <v>8</v>
      </c>
      <c r="D13">
        <v>180000</v>
      </c>
      <c r="E13">
        <v>178000</v>
      </c>
      <c r="F13">
        <v>500000</v>
      </c>
      <c r="G13">
        <v>2000</v>
      </c>
    </row>
    <row r="14" spans="1:7" x14ac:dyDescent="0.3">
      <c r="A14">
        <v>9</v>
      </c>
      <c r="B14" t="s">
        <v>22</v>
      </c>
      <c r="C14" t="s">
        <v>23</v>
      </c>
      <c r="D14">
        <v>55000</v>
      </c>
      <c r="E14">
        <v>53000</v>
      </c>
      <c r="F14">
        <v>340000</v>
      </c>
      <c r="G14">
        <v>2000</v>
      </c>
    </row>
    <row r="15" spans="1:7" x14ac:dyDescent="0.3">
      <c r="A15">
        <v>6</v>
      </c>
      <c r="B15" t="s">
        <v>24</v>
      </c>
      <c r="C15" t="s">
        <v>16</v>
      </c>
      <c r="D15">
        <v>90000</v>
      </c>
      <c r="E15">
        <v>88000</v>
      </c>
      <c r="F15">
        <v>330000</v>
      </c>
      <c r="G15">
        <v>2000</v>
      </c>
    </row>
    <row r="16" spans="1:7" x14ac:dyDescent="0.3">
      <c r="A16">
        <v>7</v>
      </c>
      <c r="B16" t="s">
        <v>25</v>
      </c>
      <c r="C16" t="s">
        <v>14</v>
      </c>
      <c r="D16">
        <v>150000</v>
      </c>
      <c r="E16">
        <v>148000</v>
      </c>
      <c r="F16">
        <v>640000</v>
      </c>
      <c r="G16">
        <v>2000</v>
      </c>
    </row>
    <row r="17" spans="1:7" x14ac:dyDescent="0.3">
      <c r="A17">
        <v>1</v>
      </c>
      <c r="B17" t="s">
        <v>26</v>
      </c>
      <c r="C17" t="s">
        <v>23</v>
      </c>
      <c r="D17">
        <v>50000</v>
      </c>
      <c r="E17">
        <v>48000</v>
      </c>
      <c r="F17">
        <v>320000</v>
      </c>
      <c r="G17">
        <v>2000</v>
      </c>
    </row>
    <row r="18" spans="1:7" x14ac:dyDescent="0.3">
      <c r="A18">
        <v>2</v>
      </c>
      <c r="B18" t="s">
        <v>27</v>
      </c>
      <c r="C18" t="s">
        <v>16</v>
      </c>
      <c r="D18">
        <v>80000</v>
      </c>
      <c r="E18">
        <v>78000</v>
      </c>
      <c r="F18">
        <v>285000</v>
      </c>
      <c r="G18">
        <v>2000</v>
      </c>
    </row>
    <row r="19" spans="1:7" x14ac:dyDescent="0.3">
      <c r="A19">
        <v>3</v>
      </c>
      <c r="B19" t="s">
        <v>28</v>
      </c>
      <c r="C19" t="s">
        <v>14</v>
      </c>
      <c r="D19">
        <v>120000</v>
      </c>
      <c r="E19">
        <v>118000</v>
      </c>
      <c r="F19">
        <v>480000</v>
      </c>
      <c r="G19">
        <v>2000</v>
      </c>
    </row>
    <row r="20" spans="1:7" x14ac:dyDescent="0.3">
      <c r="A20">
        <v>36</v>
      </c>
      <c r="B20" t="s">
        <v>29</v>
      </c>
      <c r="C20" t="s">
        <v>23</v>
      </c>
      <c r="D20">
        <v>85000</v>
      </c>
      <c r="E20">
        <v>83000</v>
      </c>
      <c r="F20">
        <v>520000</v>
      </c>
      <c r="G20">
        <v>2000</v>
      </c>
    </row>
    <row r="21" spans="1:7" x14ac:dyDescent="0.3">
      <c r="A21">
        <v>37</v>
      </c>
      <c r="B21" t="s">
        <v>30</v>
      </c>
      <c r="C21" t="s">
        <v>16</v>
      </c>
      <c r="D21">
        <v>130000</v>
      </c>
      <c r="E21">
        <v>128000</v>
      </c>
      <c r="F21">
        <v>660000</v>
      </c>
      <c r="G21">
        <v>2000</v>
      </c>
    </row>
    <row r="22" spans="1:7" x14ac:dyDescent="0.3">
      <c r="A22">
        <v>38</v>
      </c>
      <c r="B22" t="s">
        <v>31</v>
      </c>
      <c r="C22" t="s">
        <v>14</v>
      </c>
      <c r="D22">
        <v>220000</v>
      </c>
      <c r="E22">
        <v>218000</v>
      </c>
      <c r="F22">
        <v>1040000</v>
      </c>
      <c r="G22">
        <v>2000</v>
      </c>
    </row>
    <row r="23" spans="1:7" x14ac:dyDescent="0.3">
      <c r="A23">
        <v>30</v>
      </c>
      <c r="B23" t="s">
        <v>32</v>
      </c>
      <c r="C23" t="s">
        <v>16</v>
      </c>
      <c r="D23">
        <v>88000</v>
      </c>
      <c r="E23">
        <v>86000</v>
      </c>
      <c r="F23">
        <v>252000</v>
      </c>
      <c r="G23">
        <v>2000</v>
      </c>
    </row>
    <row r="24" spans="1:7" x14ac:dyDescent="0.3">
      <c r="A24">
        <v>32</v>
      </c>
      <c r="B24" t="s">
        <v>33</v>
      </c>
      <c r="C24" t="s">
        <v>23</v>
      </c>
      <c r="D24">
        <v>70000</v>
      </c>
      <c r="E24">
        <v>68000</v>
      </c>
      <c r="F24">
        <v>420000</v>
      </c>
      <c r="G24">
        <v>2000</v>
      </c>
    </row>
    <row r="25" spans="1:7" x14ac:dyDescent="0.3">
      <c r="A25">
        <v>33</v>
      </c>
      <c r="B25" t="s">
        <v>34</v>
      </c>
      <c r="C25" t="s">
        <v>16</v>
      </c>
      <c r="D25">
        <v>110000</v>
      </c>
      <c r="E25">
        <v>108000</v>
      </c>
      <c r="F25">
        <v>390000</v>
      </c>
      <c r="G25">
        <v>2000</v>
      </c>
    </row>
    <row r="26" spans="1:7" x14ac:dyDescent="0.3">
      <c r="A26">
        <v>34</v>
      </c>
      <c r="B26" t="s">
        <v>35</v>
      </c>
      <c r="C26" t="s">
        <v>14</v>
      </c>
      <c r="D26">
        <v>190000</v>
      </c>
      <c r="E26">
        <v>188000</v>
      </c>
      <c r="F26">
        <v>800000</v>
      </c>
      <c r="G26">
        <v>2000</v>
      </c>
    </row>
    <row r="27" spans="1:7" x14ac:dyDescent="0.3">
      <c r="A27">
        <v>20</v>
      </c>
      <c r="B27" t="s">
        <v>36</v>
      </c>
      <c r="C27" t="s">
        <v>14</v>
      </c>
      <c r="D27">
        <v>140000</v>
      </c>
      <c r="E27">
        <v>138000</v>
      </c>
      <c r="F27">
        <v>460000</v>
      </c>
      <c r="G27">
        <v>2000</v>
      </c>
    </row>
    <row r="28" spans="1:7" x14ac:dyDescent="0.3">
      <c r="A28">
        <v>23</v>
      </c>
      <c r="B28" t="s">
        <v>37</v>
      </c>
      <c r="C28" t="s">
        <v>16</v>
      </c>
      <c r="D28">
        <v>92000</v>
      </c>
      <c r="E28">
        <v>90000</v>
      </c>
      <c r="F28">
        <v>276000</v>
      </c>
      <c r="G28">
        <v>2000</v>
      </c>
    </row>
    <row r="29" spans="1:7" x14ac:dyDescent="0.3">
      <c r="A29">
        <v>24</v>
      </c>
      <c r="B29" t="s">
        <v>38</v>
      </c>
      <c r="C29" t="s">
        <v>14</v>
      </c>
      <c r="D29">
        <v>160000</v>
      </c>
      <c r="E29">
        <v>158000</v>
      </c>
      <c r="F29">
        <v>560000</v>
      </c>
      <c r="G29">
        <v>2000</v>
      </c>
    </row>
    <row r="30" spans="1:7" x14ac:dyDescent="0.3">
      <c r="A30">
        <v>25</v>
      </c>
      <c r="B30" t="s">
        <v>39</v>
      </c>
      <c r="C30" t="s">
        <v>23</v>
      </c>
      <c r="D30">
        <v>62000</v>
      </c>
      <c r="E30">
        <v>60000</v>
      </c>
      <c r="F30">
        <v>360000</v>
      </c>
      <c r="G30">
        <v>2000</v>
      </c>
    </row>
    <row r="31" spans="1:7" x14ac:dyDescent="0.3">
      <c r="A31">
        <v>26</v>
      </c>
      <c r="B31" t="s">
        <v>40</v>
      </c>
      <c r="C31" t="s">
        <v>16</v>
      </c>
      <c r="D31">
        <v>100000</v>
      </c>
      <c r="E31">
        <v>98000</v>
      </c>
      <c r="F31">
        <v>354000</v>
      </c>
      <c r="G31">
        <v>2000</v>
      </c>
    </row>
    <row r="32" spans="1:7" x14ac:dyDescent="0.3">
      <c r="A32">
        <v>49</v>
      </c>
      <c r="B32" t="s">
        <v>41</v>
      </c>
      <c r="C32" t="s">
        <v>16</v>
      </c>
      <c r="D32">
        <v>105000</v>
      </c>
      <c r="E32">
        <v>103000</v>
      </c>
      <c r="F32">
        <v>420000</v>
      </c>
      <c r="G32">
        <v>2000</v>
      </c>
    </row>
    <row r="33" spans="1:7" x14ac:dyDescent="0.3">
      <c r="A33">
        <v>42</v>
      </c>
      <c r="B33" t="s">
        <v>42</v>
      </c>
      <c r="C33" t="s">
        <v>16</v>
      </c>
      <c r="D33">
        <v>120000</v>
      </c>
      <c r="E33">
        <v>118000</v>
      </c>
      <c r="F33">
        <v>580000</v>
      </c>
      <c r="G33">
        <v>2000</v>
      </c>
    </row>
    <row r="34" spans="1:7" x14ac:dyDescent="0.3">
      <c r="A34">
        <v>43</v>
      </c>
      <c r="B34" t="s">
        <v>43</v>
      </c>
      <c r="C34" t="s">
        <v>14</v>
      </c>
      <c r="D34">
        <v>200000</v>
      </c>
      <c r="E34">
        <v>198000</v>
      </c>
      <c r="F34">
        <v>880000</v>
      </c>
      <c r="G34">
        <v>2000</v>
      </c>
    </row>
    <row r="35" spans="1:7" x14ac:dyDescent="0.3">
      <c r="A35">
        <v>44</v>
      </c>
      <c r="B35" t="s">
        <v>44</v>
      </c>
      <c r="C35" t="s">
        <v>23</v>
      </c>
      <c r="D35">
        <v>65000</v>
      </c>
      <c r="E35">
        <v>63000</v>
      </c>
      <c r="F35">
        <v>312000</v>
      </c>
      <c r="G35">
        <v>2000</v>
      </c>
    </row>
    <row r="36" spans="1:7" x14ac:dyDescent="0.3">
      <c r="A36">
        <v>45</v>
      </c>
      <c r="B36" t="s">
        <v>45</v>
      </c>
      <c r="C36" t="s">
        <v>16</v>
      </c>
      <c r="D36">
        <v>115000</v>
      </c>
      <c r="E36">
        <v>113000</v>
      </c>
      <c r="F36">
        <v>512000</v>
      </c>
      <c r="G36">
        <v>2000</v>
      </c>
    </row>
    <row r="37" spans="1:7" x14ac:dyDescent="0.3">
      <c r="A37">
        <v>46</v>
      </c>
      <c r="B37" t="s">
        <v>46</v>
      </c>
      <c r="C37" t="s">
        <v>14</v>
      </c>
      <c r="D37">
        <v>185000</v>
      </c>
      <c r="E37">
        <v>183000</v>
      </c>
      <c r="F37">
        <v>820000</v>
      </c>
      <c r="G37">
        <v>2000</v>
      </c>
    </row>
    <row r="38" spans="1:7" x14ac:dyDescent="0.3">
      <c r="A38">
        <v>47</v>
      </c>
      <c r="B38" t="s">
        <v>47</v>
      </c>
      <c r="C38" t="s">
        <v>23</v>
      </c>
      <c r="D38">
        <v>75000</v>
      </c>
      <c r="E38">
        <v>73000</v>
      </c>
      <c r="F38">
        <v>368000</v>
      </c>
      <c r="G38">
        <v>2000</v>
      </c>
    </row>
    <row r="39" spans="1:7" x14ac:dyDescent="0.3">
      <c r="A39">
        <v>48</v>
      </c>
      <c r="B39" t="s">
        <v>48</v>
      </c>
      <c r="C39" t="s">
        <v>49</v>
      </c>
      <c r="D39">
        <v>40000</v>
      </c>
      <c r="E39">
        <v>39000</v>
      </c>
      <c r="F39">
        <v>42000</v>
      </c>
      <c r="G39">
        <v>1000</v>
      </c>
    </row>
    <row r="40" spans="1:7" x14ac:dyDescent="0.3">
      <c r="A40">
        <v>41</v>
      </c>
      <c r="B40" t="s">
        <v>50</v>
      </c>
      <c r="C40" t="s">
        <v>23</v>
      </c>
      <c r="D40">
        <v>60000</v>
      </c>
      <c r="E40">
        <v>59000</v>
      </c>
      <c r="F40">
        <v>288000</v>
      </c>
      <c r="G40">
        <v>1000</v>
      </c>
    </row>
    <row r="41" spans="1:7" x14ac:dyDescent="0.3">
      <c r="A41">
        <v>21</v>
      </c>
      <c r="B41" t="s">
        <v>51</v>
      </c>
      <c r="C41" t="s">
        <v>49</v>
      </c>
      <c r="D41">
        <v>28000</v>
      </c>
      <c r="E41">
        <v>27000</v>
      </c>
      <c r="F41">
        <v>36000</v>
      </c>
      <c r="G41">
        <v>1000</v>
      </c>
    </row>
    <row r="42" spans="1:7" x14ac:dyDescent="0.3">
      <c r="A42">
        <v>22</v>
      </c>
      <c r="B42" t="s">
        <v>52</v>
      </c>
      <c r="C42" t="s">
        <v>23</v>
      </c>
      <c r="D42">
        <v>58000</v>
      </c>
      <c r="E42">
        <v>57000</v>
      </c>
      <c r="F42">
        <v>280000</v>
      </c>
      <c r="G42">
        <v>1000</v>
      </c>
    </row>
    <row r="43" spans="1:7" x14ac:dyDescent="0.3">
      <c r="A43">
        <v>29</v>
      </c>
      <c r="B43" t="s">
        <v>53</v>
      </c>
      <c r="C43" t="s">
        <v>23</v>
      </c>
      <c r="D43">
        <v>55000</v>
      </c>
      <c r="E43">
        <v>54000</v>
      </c>
      <c r="F43">
        <v>256000</v>
      </c>
      <c r="G43">
        <v>1000</v>
      </c>
    </row>
    <row r="44" spans="1:7" x14ac:dyDescent="0.3">
      <c r="A44">
        <v>31</v>
      </c>
      <c r="B44" t="s">
        <v>54</v>
      </c>
      <c r="C44" t="s">
        <v>49</v>
      </c>
      <c r="D44">
        <v>32000</v>
      </c>
      <c r="E44">
        <v>31000</v>
      </c>
      <c r="F44">
        <v>30000</v>
      </c>
      <c r="G44">
        <v>1000</v>
      </c>
    </row>
    <row r="45" spans="1:7" x14ac:dyDescent="0.3">
      <c r="A45">
        <v>39</v>
      </c>
      <c r="B45" t="s">
        <v>55</v>
      </c>
      <c r="C45" t="s">
        <v>49</v>
      </c>
      <c r="D45">
        <v>45000</v>
      </c>
      <c r="E45">
        <v>44000</v>
      </c>
      <c r="F45">
        <v>54000</v>
      </c>
      <c r="G45">
        <v>1000</v>
      </c>
    </row>
    <row r="46" spans="1:7" x14ac:dyDescent="0.3">
      <c r="A46">
        <v>4</v>
      </c>
      <c r="B46" t="s">
        <v>56</v>
      </c>
      <c r="C46" t="s">
        <v>49</v>
      </c>
      <c r="D46">
        <v>30000</v>
      </c>
      <c r="E46">
        <v>29000</v>
      </c>
      <c r="F46">
        <v>45000</v>
      </c>
      <c r="G46">
        <v>1000</v>
      </c>
    </row>
    <row r="47" spans="1:7" x14ac:dyDescent="0.3">
      <c r="A47">
        <v>5</v>
      </c>
      <c r="B47" t="s">
        <v>57</v>
      </c>
      <c r="C47" t="s">
        <v>23</v>
      </c>
      <c r="D47">
        <v>45000</v>
      </c>
      <c r="E47">
        <v>44000</v>
      </c>
      <c r="F47">
        <v>288000</v>
      </c>
      <c r="G47">
        <v>1000</v>
      </c>
    </row>
    <row r="48" spans="1:7" x14ac:dyDescent="0.3">
      <c r="A48">
        <v>19</v>
      </c>
      <c r="B48" t="s">
        <v>58</v>
      </c>
      <c r="C48" t="s">
        <v>23</v>
      </c>
      <c r="D48">
        <v>52000</v>
      </c>
      <c r="E48">
        <v>51000</v>
      </c>
      <c r="F48">
        <v>248000</v>
      </c>
      <c r="G48">
        <v>1000</v>
      </c>
    </row>
    <row r="49" spans="1:7" x14ac:dyDescent="0.3">
      <c r="A49">
        <v>16</v>
      </c>
      <c r="B49" t="s">
        <v>59</v>
      </c>
      <c r="C49" t="s">
        <v>23</v>
      </c>
      <c r="D49">
        <v>48000</v>
      </c>
      <c r="E49">
        <v>47000</v>
      </c>
      <c r="F49">
        <v>260000</v>
      </c>
      <c r="G49">
        <v>1000</v>
      </c>
    </row>
    <row r="50" spans="1:7" x14ac:dyDescent="0.3">
      <c r="A50">
        <v>12</v>
      </c>
      <c r="B50" t="s">
        <v>60</v>
      </c>
      <c r="C50" t="s">
        <v>49</v>
      </c>
      <c r="D50">
        <v>35000</v>
      </c>
      <c r="E50">
        <v>34000</v>
      </c>
      <c r="F50">
        <v>39000</v>
      </c>
      <c r="G50">
        <v>1000</v>
      </c>
    </row>
    <row r="51" spans="1:7" x14ac:dyDescent="0.3">
      <c r="A51">
        <v>13</v>
      </c>
      <c r="B51" t="s">
        <v>61</v>
      </c>
      <c r="C51" t="s">
        <v>23</v>
      </c>
      <c r="D51">
        <v>40000</v>
      </c>
      <c r="E51">
        <v>39000</v>
      </c>
      <c r="F51">
        <v>232000</v>
      </c>
      <c r="G51">
        <v>1000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82DA-AB22-4287-9CFA-0A1433F123D3}">
  <dimension ref="A1:D7"/>
  <sheetViews>
    <sheetView workbookViewId="0">
      <selection activeCell="D7" sqref="D7"/>
    </sheetView>
  </sheetViews>
  <sheetFormatPr defaultRowHeight="14.4" x14ac:dyDescent="0.3"/>
  <cols>
    <col min="1" max="1" width="15.77734375" bestFit="1" customWidth="1"/>
    <col min="2" max="2" width="14.44140625" bestFit="1" customWidth="1"/>
    <col min="3" max="3" width="18.5546875" bestFit="1" customWidth="1"/>
    <col min="4" max="4" width="15.44140625" bestFit="1" customWidth="1"/>
  </cols>
  <sheetData>
    <row r="1" spans="1:4" x14ac:dyDescent="0.3">
      <c r="A1" t="s">
        <v>2</v>
      </c>
      <c r="B1" t="s">
        <v>62</v>
      </c>
      <c r="C1" t="s">
        <v>63</v>
      </c>
      <c r="D1" t="s">
        <v>64</v>
      </c>
    </row>
    <row r="2" spans="1:4" x14ac:dyDescent="0.3">
      <c r="A2" t="s">
        <v>14</v>
      </c>
      <c r="B2">
        <v>1780000</v>
      </c>
      <c r="C2">
        <v>1757000</v>
      </c>
      <c r="D2">
        <v>7312000</v>
      </c>
    </row>
    <row r="3" spans="1:4" x14ac:dyDescent="0.3">
      <c r="A3" t="s">
        <v>16</v>
      </c>
      <c r="B3">
        <v>1285000</v>
      </c>
      <c r="C3">
        <v>1258000</v>
      </c>
      <c r="D3">
        <v>4872000</v>
      </c>
    </row>
    <row r="4" spans="1:4" x14ac:dyDescent="0.3">
      <c r="A4" t="s">
        <v>23</v>
      </c>
      <c r="B4">
        <v>820000</v>
      </c>
      <c r="C4">
        <v>799000</v>
      </c>
      <c r="D4">
        <v>4492000</v>
      </c>
    </row>
    <row r="5" spans="1:4" x14ac:dyDescent="0.3">
      <c r="A5" t="s">
        <v>8</v>
      </c>
      <c r="B5">
        <v>1430000</v>
      </c>
      <c r="C5">
        <v>1403000</v>
      </c>
      <c r="D5">
        <v>4160000</v>
      </c>
    </row>
    <row r="6" spans="1:4" x14ac:dyDescent="0.3">
      <c r="A6" t="s">
        <v>49</v>
      </c>
      <c r="B6">
        <v>210000</v>
      </c>
      <c r="C6">
        <v>204000</v>
      </c>
      <c r="D6">
        <v>246000</v>
      </c>
    </row>
    <row r="7" spans="1:4" x14ac:dyDescent="0.3">
      <c r="B7">
        <f>SUBTOTAL(109,_3_Channel_Wise_Total_Spend_And_Revenue[Total_Budget])</f>
        <v>5525000</v>
      </c>
      <c r="D7">
        <f>SUBTOTAL(109,_3_Channel_Wise_Total_Spend_And_Revenue[Total_revenue])</f>
        <v>21082000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D0C5-6482-48F2-B32B-CC4691307DF0}">
  <dimension ref="A1:E51"/>
  <sheetViews>
    <sheetView workbookViewId="0">
      <selection activeCell="O6" sqref="O6"/>
    </sheetView>
  </sheetViews>
  <sheetFormatPr defaultRowHeight="14.4" x14ac:dyDescent="0.3"/>
  <cols>
    <col min="1" max="1" width="25.6640625" bestFit="1" customWidth="1"/>
    <col min="2" max="2" width="15.77734375" bestFit="1" customWidth="1"/>
    <col min="3" max="3" width="13.21875" bestFit="1" customWidth="1"/>
    <col min="4" max="4" width="10.5546875" bestFit="1" customWidth="1"/>
    <col min="5" max="5" width="9.88671875" bestFit="1" customWidth="1"/>
  </cols>
  <sheetData>
    <row r="1" spans="1:5" x14ac:dyDescent="0.3">
      <c r="A1" t="s">
        <v>1</v>
      </c>
      <c r="B1" t="s">
        <v>2</v>
      </c>
      <c r="C1" t="s">
        <v>4</v>
      </c>
      <c r="D1" t="s">
        <v>5</v>
      </c>
      <c r="E1" t="s">
        <v>65</v>
      </c>
    </row>
    <row r="2" spans="1:5" x14ac:dyDescent="0.3">
      <c r="A2" t="s">
        <v>26</v>
      </c>
      <c r="B2" t="s">
        <v>23</v>
      </c>
      <c r="C2">
        <v>48000</v>
      </c>
      <c r="D2">
        <v>320000</v>
      </c>
      <c r="E2">
        <v>566.66999999999996</v>
      </c>
    </row>
    <row r="3" spans="1:5" x14ac:dyDescent="0.3">
      <c r="A3" t="s">
        <v>57</v>
      </c>
      <c r="B3" t="s">
        <v>23</v>
      </c>
      <c r="C3">
        <v>44000</v>
      </c>
      <c r="D3">
        <v>288000</v>
      </c>
      <c r="E3">
        <v>554.54999999999995</v>
      </c>
    </row>
    <row r="4" spans="1:5" x14ac:dyDescent="0.3">
      <c r="A4" t="s">
        <v>22</v>
      </c>
      <c r="B4" t="s">
        <v>23</v>
      </c>
      <c r="C4">
        <v>53000</v>
      </c>
      <c r="D4">
        <v>340000</v>
      </c>
      <c r="E4">
        <v>541.51</v>
      </c>
    </row>
    <row r="5" spans="1:5" x14ac:dyDescent="0.3">
      <c r="A5" t="s">
        <v>29</v>
      </c>
      <c r="B5" t="s">
        <v>23</v>
      </c>
      <c r="C5">
        <v>83000</v>
      </c>
      <c r="D5">
        <v>520000</v>
      </c>
      <c r="E5">
        <v>526.51</v>
      </c>
    </row>
    <row r="6" spans="1:5" x14ac:dyDescent="0.3">
      <c r="A6" t="s">
        <v>33</v>
      </c>
      <c r="B6" t="s">
        <v>23</v>
      </c>
      <c r="C6">
        <v>68000</v>
      </c>
      <c r="D6">
        <v>420000</v>
      </c>
      <c r="E6">
        <v>517.65</v>
      </c>
    </row>
    <row r="7" spans="1:5" x14ac:dyDescent="0.3">
      <c r="A7" t="s">
        <v>39</v>
      </c>
      <c r="B7" t="s">
        <v>23</v>
      </c>
      <c r="C7">
        <v>60000</v>
      </c>
      <c r="D7">
        <v>360000</v>
      </c>
      <c r="E7">
        <v>500</v>
      </c>
    </row>
    <row r="8" spans="1:5" x14ac:dyDescent="0.3">
      <c r="A8" t="s">
        <v>61</v>
      </c>
      <c r="B8" t="s">
        <v>23</v>
      </c>
      <c r="C8">
        <v>39000</v>
      </c>
      <c r="D8">
        <v>232000</v>
      </c>
      <c r="E8">
        <v>494.87</v>
      </c>
    </row>
    <row r="9" spans="1:5" x14ac:dyDescent="0.3">
      <c r="A9" t="s">
        <v>59</v>
      </c>
      <c r="B9" t="s">
        <v>23</v>
      </c>
      <c r="C9">
        <v>47000</v>
      </c>
      <c r="D9">
        <v>260000</v>
      </c>
      <c r="E9">
        <v>453.19</v>
      </c>
    </row>
    <row r="10" spans="1:5" x14ac:dyDescent="0.3">
      <c r="A10" t="s">
        <v>30</v>
      </c>
      <c r="B10" t="s">
        <v>16</v>
      </c>
      <c r="C10">
        <v>128000</v>
      </c>
      <c r="D10">
        <v>660000</v>
      </c>
      <c r="E10">
        <v>415.63</v>
      </c>
    </row>
    <row r="11" spans="1:5" x14ac:dyDescent="0.3">
      <c r="A11" t="s">
        <v>47</v>
      </c>
      <c r="B11" t="s">
        <v>23</v>
      </c>
      <c r="C11">
        <v>73000</v>
      </c>
      <c r="D11">
        <v>368000</v>
      </c>
      <c r="E11">
        <v>404.11</v>
      </c>
    </row>
    <row r="12" spans="1:5" x14ac:dyDescent="0.3">
      <c r="A12" t="s">
        <v>44</v>
      </c>
      <c r="B12" t="s">
        <v>23</v>
      </c>
      <c r="C12">
        <v>63000</v>
      </c>
      <c r="D12">
        <v>312000</v>
      </c>
      <c r="E12">
        <v>395.24</v>
      </c>
    </row>
    <row r="13" spans="1:5" x14ac:dyDescent="0.3">
      <c r="A13" t="s">
        <v>42</v>
      </c>
      <c r="B13" t="s">
        <v>16</v>
      </c>
      <c r="C13">
        <v>118000</v>
      </c>
      <c r="D13">
        <v>580000</v>
      </c>
      <c r="E13">
        <v>391.53</v>
      </c>
    </row>
    <row r="14" spans="1:5" x14ac:dyDescent="0.3">
      <c r="A14" t="s">
        <v>52</v>
      </c>
      <c r="B14" t="s">
        <v>23</v>
      </c>
      <c r="C14">
        <v>57000</v>
      </c>
      <c r="D14">
        <v>280000</v>
      </c>
      <c r="E14">
        <v>391.23</v>
      </c>
    </row>
    <row r="15" spans="1:5" x14ac:dyDescent="0.3">
      <c r="A15" t="s">
        <v>50</v>
      </c>
      <c r="B15" t="s">
        <v>23</v>
      </c>
      <c r="C15">
        <v>59000</v>
      </c>
      <c r="D15">
        <v>288000</v>
      </c>
      <c r="E15">
        <v>388.14</v>
      </c>
    </row>
    <row r="16" spans="1:5" x14ac:dyDescent="0.3">
      <c r="A16" t="s">
        <v>58</v>
      </c>
      <c r="B16" t="s">
        <v>23</v>
      </c>
      <c r="C16">
        <v>51000</v>
      </c>
      <c r="D16">
        <v>248000</v>
      </c>
      <c r="E16">
        <v>386.27</v>
      </c>
    </row>
    <row r="17" spans="1:5" x14ac:dyDescent="0.3">
      <c r="A17" t="s">
        <v>31</v>
      </c>
      <c r="B17" t="s">
        <v>14</v>
      </c>
      <c r="C17">
        <v>218000</v>
      </c>
      <c r="D17">
        <v>1040000</v>
      </c>
      <c r="E17">
        <v>377.06</v>
      </c>
    </row>
    <row r="18" spans="1:5" x14ac:dyDescent="0.3">
      <c r="A18" t="s">
        <v>53</v>
      </c>
      <c r="B18" t="s">
        <v>23</v>
      </c>
      <c r="C18">
        <v>54000</v>
      </c>
      <c r="D18">
        <v>256000</v>
      </c>
      <c r="E18">
        <v>374.07</v>
      </c>
    </row>
    <row r="19" spans="1:5" x14ac:dyDescent="0.3">
      <c r="A19" t="s">
        <v>45</v>
      </c>
      <c r="B19" t="s">
        <v>16</v>
      </c>
      <c r="C19">
        <v>113000</v>
      </c>
      <c r="D19">
        <v>512000</v>
      </c>
      <c r="E19">
        <v>353.1</v>
      </c>
    </row>
    <row r="20" spans="1:5" x14ac:dyDescent="0.3">
      <c r="A20" t="s">
        <v>46</v>
      </c>
      <c r="B20" t="s">
        <v>14</v>
      </c>
      <c r="C20">
        <v>183000</v>
      </c>
      <c r="D20">
        <v>820000</v>
      </c>
      <c r="E20">
        <v>348.09</v>
      </c>
    </row>
    <row r="21" spans="1:5" x14ac:dyDescent="0.3">
      <c r="A21" t="s">
        <v>43</v>
      </c>
      <c r="B21" t="s">
        <v>14</v>
      </c>
      <c r="C21">
        <v>198000</v>
      </c>
      <c r="D21">
        <v>880000</v>
      </c>
      <c r="E21">
        <v>344.44</v>
      </c>
    </row>
    <row r="22" spans="1:5" x14ac:dyDescent="0.3">
      <c r="A22" t="s">
        <v>25</v>
      </c>
      <c r="B22" t="s">
        <v>14</v>
      </c>
      <c r="C22">
        <v>148000</v>
      </c>
      <c r="D22">
        <v>640000</v>
      </c>
      <c r="E22">
        <v>332.43</v>
      </c>
    </row>
    <row r="23" spans="1:5" x14ac:dyDescent="0.3">
      <c r="A23" t="s">
        <v>35</v>
      </c>
      <c r="B23" t="s">
        <v>14</v>
      </c>
      <c r="C23">
        <v>188000</v>
      </c>
      <c r="D23">
        <v>800000</v>
      </c>
      <c r="E23">
        <v>325.52999999999997</v>
      </c>
    </row>
    <row r="24" spans="1:5" x14ac:dyDescent="0.3">
      <c r="A24" t="s">
        <v>13</v>
      </c>
      <c r="B24" t="s">
        <v>14</v>
      </c>
      <c r="C24">
        <v>172000</v>
      </c>
      <c r="D24">
        <v>720000</v>
      </c>
      <c r="E24">
        <v>318.60000000000002</v>
      </c>
    </row>
    <row r="25" spans="1:5" x14ac:dyDescent="0.3">
      <c r="A25" t="s">
        <v>41</v>
      </c>
      <c r="B25" t="s">
        <v>16</v>
      </c>
      <c r="C25">
        <v>103000</v>
      </c>
      <c r="D25">
        <v>420000</v>
      </c>
      <c r="E25">
        <v>307.77</v>
      </c>
    </row>
    <row r="26" spans="1:5" x14ac:dyDescent="0.3">
      <c r="A26" t="s">
        <v>28</v>
      </c>
      <c r="B26" t="s">
        <v>14</v>
      </c>
      <c r="C26">
        <v>118000</v>
      </c>
      <c r="D26">
        <v>480000</v>
      </c>
      <c r="E26">
        <v>306.77999999999997</v>
      </c>
    </row>
    <row r="27" spans="1:5" x14ac:dyDescent="0.3">
      <c r="A27" t="s">
        <v>17</v>
      </c>
      <c r="B27" t="s">
        <v>14</v>
      </c>
      <c r="C27">
        <v>128000</v>
      </c>
      <c r="D27">
        <v>520000</v>
      </c>
      <c r="E27">
        <v>306.25</v>
      </c>
    </row>
    <row r="28" spans="1:5" x14ac:dyDescent="0.3">
      <c r="A28" t="s">
        <v>24</v>
      </c>
      <c r="B28" t="s">
        <v>16</v>
      </c>
      <c r="C28">
        <v>88000</v>
      </c>
      <c r="D28">
        <v>330000</v>
      </c>
      <c r="E28">
        <v>275</v>
      </c>
    </row>
    <row r="29" spans="1:5" x14ac:dyDescent="0.3">
      <c r="A29" t="s">
        <v>27</v>
      </c>
      <c r="B29" t="s">
        <v>16</v>
      </c>
      <c r="C29">
        <v>78000</v>
      </c>
      <c r="D29">
        <v>285000</v>
      </c>
      <c r="E29">
        <v>265.38</v>
      </c>
    </row>
    <row r="30" spans="1:5" x14ac:dyDescent="0.3">
      <c r="A30" t="s">
        <v>19</v>
      </c>
      <c r="B30" t="s">
        <v>14</v>
      </c>
      <c r="C30">
        <v>108000</v>
      </c>
      <c r="D30">
        <v>392000</v>
      </c>
      <c r="E30">
        <v>262.95999999999998</v>
      </c>
    </row>
    <row r="31" spans="1:5" x14ac:dyDescent="0.3">
      <c r="A31" t="s">
        <v>40</v>
      </c>
      <c r="B31" t="s">
        <v>16</v>
      </c>
      <c r="C31">
        <v>98000</v>
      </c>
      <c r="D31">
        <v>354000</v>
      </c>
      <c r="E31">
        <v>261.22000000000003</v>
      </c>
    </row>
    <row r="32" spans="1:5" x14ac:dyDescent="0.3">
      <c r="A32" t="s">
        <v>34</v>
      </c>
      <c r="B32" t="s">
        <v>16</v>
      </c>
      <c r="C32">
        <v>108000</v>
      </c>
      <c r="D32">
        <v>390000</v>
      </c>
      <c r="E32">
        <v>261.11</v>
      </c>
    </row>
    <row r="33" spans="1:5" x14ac:dyDescent="0.3">
      <c r="A33" t="s">
        <v>38</v>
      </c>
      <c r="B33" t="s">
        <v>14</v>
      </c>
      <c r="C33">
        <v>158000</v>
      </c>
      <c r="D33">
        <v>560000</v>
      </c>
      <c r="E33">
        <v>254.43</v>
      </c>
    </row>
    <row r="34" spans="1:5" x14ac:dyDescent="0.3">
      <c r="A34" t="s">
        <v>15</v>
      </c>
      <c r="B34" t="s">
        <v>16</v>
      </c>
      <c r="C34">
        <v>92000</v>
      </c>
      <c r="D34">
        <v>315000</v>
      </c>
      <c r="E34">
        <v>242.39</v>
      </c>
    </row>
    <row r="35" spans="1:5" x14ac:dyDescent="0.3">
      <c r="A35" t="s">
        <v>36</v>
      </c>
      <c r="B35" t="s">
        <v>14</v>
      </c>
      <c r="C35">
        <v>138000</v>
      </c>
      <c r="D35">
        <v>460000</v>
      </c>
      <c r="E35">
        <v>233.33</v>
      </c>
    </row>
    <row r="36" spans="1:5" x14ac:dyDescent="0.3">
      <c r="A36" t="s">
        <v>18</v>
      </c>
      <c r="B36" t="s">
        <v>16</v>
      </c>
      <c r="C36">
        <v>73000</v>
      </c>
      <c r="D36">
        <v>234000</v>
      </c>
      <c r="E36">
        <v>220.55</v>
      </c>
    </row>
    <row r="37" spans="1:5" x14ac:dyDescent="0.3">
      <c r="A37" t="s">
        <v>20</v>
      </c>
      <c r="B37" t="s">
        <v>16</v>
      </c>
      <c r="C37">
        <v>83000</v>
      </c>
      <c r="D37">
        <v>264000</v>
      </c>
      <c r="E37">
        <v>218.07</v>
      </c>
    </row>
    <row r="38" spans="1:5" x14ac:dyDescent="0.3">
      <c r="A38" t="s">
        <v>11</v>
      </c>
      <c r="B38" t="s">
        <v>8</v>
      </c>
      <c r="C38">
        <v>295000</v>
      </c>
      <c r="D38">
        <v>920000</v>
      </c>
      <c r="E38">
        <v>211.86</v>
      </c>
    </row>
    <row r="39" spans="1:5" x14ac:dyDescent="0.3">
      <c r="A39" t="s">
        <v>37</v>
      </c>
      <c r="B39" t="s">
        <v>16</v>
      </c>
      <c r="C39">
        <v>90000</v>
      </c>
      <c r="D39">
        <v>276000</v>
      </c>
      <c r="E39">
        <v>206.67</v>
      </c>
    </row>
    <row r="40" spans="1:5" x14ac:dyDescent="0.3">
      <c r="A40" t="s">
        <v>12</v>
      </c>
      <c r="B40" t="s">
        <v>8</v>
      </c>
      <c r="C40">
        <v>275000</v>
      </c>
      <c r="D40">
        <v>840000</v>
      </c>
      <c r="E40">
        <v>205.45</v>
      </c>
    </row>
    <row r="41" spans="1:5" x14ac:dyDescent="0.3">
      <c r="A41" t="s">
        <v>10</v>
      </c>
      <c r="B41" t="s">
        <v>8</v>
      </c>
      <c r="C41">
        <v>245000</v>
      </c>
      <c r="D41">
        <v>740000</v>
      </c>
      <c r="E41">
        <v>202.04</v>
      </c>
    </row>
    <row r="42" spans="1:5" x14ac:dyDescent="0.3">
      <c r="A42" t="s">
        <v>32</v>
      </c>
      <c r="B42" t="s">
        <v>16</v>
      </c>
      <c r="C42">
        <v>86000</v>
      </c>
      <c r="D42">
        <v>252000</v>
      </c>
      <c r="E42">
        <v>193.02</v>
      </c>
    </row>
    <row r="43" spans="1:5" x14ac:dyDescent="0.3">
      <c r="A43" t="s">
        <v>7</v>
      </c>
      <c r="B43" t="s">
        <v>8</v>
      </c>
      <c r="C43">
        <v>195000</v>
      </c>
      <c r="D43">
        <v>560000</v>
      </c>
      <c r="E43">
        <v>187.18</v>
      </c>
    </row>
    <row r="44" spans="1:5" x14ac:dyDescent="0.3">
      <c r="A44" t="s">
        <v>21</v>
      </c>
      <c r="B44" t="s">
        <v>8</v>
      </c>
      <c r="C44">
        <v>178000</v>
      </c>
      <c r="D44">
        <v>500000</v>
      </c>
      <c r="E44">
        <v>180.9</v>
      </c>
    </row>
    <row r="45" spans="1:5" x14ac:dyDescent="0.3">
      <c r="A45" t="s">
        <v>9</v>
      </c>
      <c r="B45" t="s">
        <v>8</v>
      </c>
      <c r="C45">
        <v>215000</v>
      </c>
      <c r="D45">
        <v>600000</v>
      </c>
      <c r="E45">
        <v>179.07</v>
      </c>
    </row>
    <row r="46" spans="1:5" x14ac:dyDescent="0.3">
      <c r="A46" t="s">
        <v>56</v>
      </c>
      <c r="B46" t="s">
        <v>49</v>
      </c>
      <c r="C46">
        <v>29000</v>
      </c>
      <c r="D46">
        <v>45000</v>
      </c>
      <c r="E46">
        <v>55.17</v>
      </c>
    </row>
    <row r="47" spans="1:5" x14ac:dyDescent="0.3">
      <c r="A47" t="s">
        <v>51</v>
      </c>
      <c r="B47" t="s">
        <v>49</v>
      </c>
      <c r="C47">
        <v>27000</v>
      </c>
      <c r="D47">
        <v>36000</v>
      </c>
      <c r="E47">
        <v>33.33</v>
      </c>
    </row>
    <row r="48" spans="1:5" x14ac:dyDescent="0.3">
      <c r="A48" t="s">
        <v>55</v>
      </c>
      <c r="B48" t="s">
        <v>49</v>
      </c>
      <c r="C48">
        <v>44000</v>
      </c>
      <c r="D48">
        <v>54000</v>
      </c>
      <c r="E48">
        <v>22.73</v>
      </c>
    </row>
    <row r="49" spans="1:5" x14ac:dyDescent="0.3">
      <c r="A49" t="s">
        <v>60</v>
      </c>
      <c r="B49" t="s">
        <v>49</v>
      </c>
      <c r="C49">
        <v>34000</v>
      </c>
      <c r="D49">
        <v>39000</v>
      </c>
      <c r="E49">
        <v>14.71</v>
      </c>
    </row>
    <row r="50" spans="1:5" x14ac:dyDescent="0.3">
      <c r="A50" t="s">
        <v>48</v>
      </c>
      <c r="B50" t="s">
        <v>49</v>
      </c>
      <c r="C50">
        <v>39000</v>
      </c>
      <c r="D50">
        <v>42000</v>
      </c>
      <c r="E50">
        <v>7.69</v>
      </c>
    </row>
    <row r="51" spans="1:5" x14ac:dyDescent="0.3">
      <c r="A51" t="s">
        <v>54</v>
      </c>
      <c r="B51" t="s">
        <v>49</v>
      </c>
      <c r="C51">
        <v>31000</v>
      </c>
      <c r="D51">
        <v>30000</v>
      </c>
      <c r="E51">
        <v>-3.23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5B58-C78C-4C5B-9406-E45F3A965227}">
  <dimension ref="A1:G6"/>
  <sheetViews>
    <sheetView topLeftCell="D1" workbookViewId="0">
      <selection activeCell="A2" sqref="A2"/>
    </sheetView>
  </sheetViews>
  <sheetFormatPr defaultRowHeight="14.4" x14ac:dyDescent="0.3"/>
  <cols>
    <col min="1" max="1" width="15.77734375" bestFit="1" customWidth="1"/>
    <col min="2" max="2" width="14.44140625" bestFit="1" customWidth="1"/>
    <col min="3" max="3" width="18.5546875" bestFit="1" customWidth="1"/>
    <col min="4" max="4" width="15.88671875" bestFit="1" customWidth="1"/>
    <col min="5" max="5" width="16.88671875" bestFit="1" customWidth="1"/>
    <col min="6" max="6" width="14.33203125" bestFit="1" customWidth="1"/>
    <col min="7" max="7" width="21.88671875" bestFit="1" customWidth="1"/>
  </cols>
  <sheetData>
    <row r="1" spans="1:7" x14ac:dyDescent="0.3">
      <c r="A1" t="s">
        <v>2</v>
      </c>
      <c r="B1" t="s">
        <v>62</v>
      </c>
      <c r="C1" t="s">
        <v>63</v>
      </c>
      <c r="D1" t="s">
        <v>66</v>
      </c>
      <c r="E1" t="s">
        <v>67</v>
      </c>
      <c r="F1" t="s">
        <v>68</v>
      </c>
      <c r="G1" t="s">
        <v>69</v>
      </c>
    </row>
    <row r="2" spans="1:7" x14ac:dyDescent="0.3">
      <c r="A2" t="s">
        <v>23</v>
      </c>
      <c r="B2">
        <v>820000</v>
      </c>
      <c r="C2">
        <v>799000</v>
      </c>
      <c r="D2">
        <v>4492000</v>
      </c>
      <c r="E2">
        <v>462.2</v>
      </c>
      <c r="F2">
        <v>8.27</v>
      </c>
      <c r="G2">
        <v>6.34</v>
      </c>
    </row>
    <row r="3" spans="1:7" x14ac:dyDescent="0.3">
      <c r="A3" t="s">
        <v>14</v>
      </c>
      <c r="B3">
        <v>1780000</v>
      </c>
      <c r="C3">
        <v>1757000</v>
      </c>
      <c r="D3">
        <v>7312000</v>
      </c>
      <c r="E3">
        <v>316.16000000000003</v>
      </c>
      <c r="F3">
        <v>5.31</v>
      </c>
      <c r="G3">
        <v>5.03</v>
      </c>
    </row>
    <row r="4" spans="1:7" x14ac:dyDescent="0.3">
      <c r="A4" t="s">
        <v>16</v>
      </c>
      <c r="B4">
        <v>1285000</v>
      </c>
      <c r="C4">
        <v>1258000</v>
      </c>
      <c r="D4">
        <v>4872000</v>
      </c>
      <c r="E4">
        <v>287.27999999999997</v>
      </c>
      <c r="F4">
        <v>6.75</v>
      </c>
      <c r="G4">
        <v>5.23</v>
      </c>
    </row>
    <row r="5" spans="1:7" x14ac:dyDescent="0.3">
      <c r="A5" t="s">
        <v>8</v>
      </c>
      <c r="B5">
        <v>1430000</v>
      </c>
      <c r="C5">
        <v>1403000</v>
      </c>
      <c r="D5">
        <v>4160000</v>
      </c>
      <c r="E5">
        <v>196.51</v>
      </c>
      <c r="F5">
        <v>6.66</v>
      </c>
      <c r="G5">
        <v>5.21</v>
      </c>
    </row>
    <row r="6" spans="1:7" x14ac:dyDescent="0.3">
      <c r="A6" t="s">
        <v>49</v>
      </c>
      <c r="B6">
        <v>210000</v>
      </c>
      <c r="C6">
        <v>204000</v>
      </c>
      <c r="D6">
        <v>246000</v>
      </c>
      <c r="E6">
        <v>20.59</v>
      </c>
      <c r="F6">
        <v>4.4400000000000004</v>
      </c>
      <c r="G6">
        <v>3.35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CB14-9E86-4AAE-B707-D1EF0B5678CF}">
  <dimension ref="A1:H51"/>
  <sheetViews>
    <sheetView topLeftCell="B1" workbookViewId="0">
      <selection activeCell="C2" sqref="C2"/>
    </sheetView>
  </sheetViews>
  <sheetFormatPr defaultRowHeight="14.4" x14ac:dyDescent="0.3"/>
  <cols>
    <col min="1" max="1" width="25.6640625" bestFit="1" customWidth="1"/>
    <col min="2" max="2" width="15.77734375" bestFit="1" customWidth="1"/>
    <col min="3" max="3" width="7" bestFit="1" customWidth="1"/>
    <col min="4" max="4" width="6.44140625" bestFit="1" customWidth="1"/>
    <col min="5" max="5" width="12.33203125" bestFit="1" customWidth="1"/>
    <col min="6" max="6" width="7" bestFit="1" customWidth="1"/>
    <col min="7" max="7" width="13.109375" bestFit="1" customWidth="1"/>
    <col min="8" max="8" width="17.77734375" bestFit="1" customWidth="1"/>
  </cols>
  <sheetData>
    <row r="1" spans="1:8" x14ac:dyDescent="0.3">
      <c r="A1" t="s">
        <v>1</v>
      </c>
      <c r="B1" t="s">
        <v>2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</row>
    <row r="2" spans="1:8" x14ac:dyDescent="0.3">
      <c r="A2" t="s">
        <v>26</v>
      </c>
      <c r="B2" t="s">
        <v>23</v>
      </c>
      <c r="C2">
        <v>566.66999999999996</v>
      </c>
      <c r="D2">
        <v>8</v>
      </c>
      <c r="E2">
        <v>6.67</v>
      </c>
      <c r="F2">
        <v>60</v>
      </c>
      <c r="G2">
        <v>12</v>
      </c>
      <c r="H2" t="s">
        <v>76</v>
      </c>
    </row>
    <row r="3" spans="1:8" x14ac:dyDescent="0.3">
      <c r="A3" t="s">
        <v>57</v>
      </c>
      <c r="B3" t="s">
        <v>23</v>
      </c>
      <c r="C3">
        <v>554.54999999999995</v>
      </c>
      <c r="D3">
        <v>8.4600000000000009</v>
      </c>
      <c r="E3">
        <v>6.55</v>
      </c>
      <c r="F3">
        <v>61.11</v>
      </c>
      <c r="G3">
        <v>12</v>
      </c>
      <c r="H3" t="s">
        <v>76</v>
      </c>
    </row>
    <row r="4" spans="1:8" x14ac:dyDescent="0.3">
      <c r="A4" t="s">
        <v>22</v>
      </c>
      <c r="B4" t="s">
        <v>23</v>
      </c>
      <c r="C4">
        <v>541.51</v>
      </c>
      <c r="D4">
        <v>9.2899999999999991</v>
      </c>
      <c r="E4">
        <v>6.54</v>
      </c>
      <c r="F4">
        <v>62.35</v>
      </c>
      <c r="G4">
        <v>12</v>
      </c>
      <c r="H4" t="s">
        <v>76</v>
      </c>
    </row>
    <row r="5" spans="1:8" x14ac:dyDescent="0.3">
      <c r="A5" t="s">
        <v>61</v>
      </c>
      <c r="B5" t="s">
        <v>23</v>
      </c>
      <c r="C5">
        <v>494.87</v>
      </c>
      <c r="D5">
        <v>7.92</v>
      </c>
      <c r="E5">
        <v>6.11</v>
      </c>
      <c r="F5">
        <v>67.239999999999995</v>
      </c>
      <c r="G5">
        <v>12</v>
      </c>
      <c r="H5" t="s">
        <v>76</v>
      </c>
    </row>
    <row r="6" spans="1:8" x14ac:dyDescent="0.3">
      <c r="A6" t="s">
        <v>59</v>
      </c>
      <c r="B6" t="s">
        <v>23</v>
      </c>
      <c r="C6">
        <v>453.19</v>
      </c>
      <c r="D6">
        <v>7.78</v>
      </c>
      <c r="E6">
        <v>6.19</v>
      </c>
      <c r="F6">
        <v>72.31</v>
      </c>
      <c r="G6">
        <v>12</v>
      </c>
      <c r="H6" t="s">
        <v>76</v>
      </c>
    </row>
    <row r="7" spans="1:8" x14ac:dyDescent="0.3">
      <c r="A7" t="s">
        <v>58</v>
      </c>
      <c r="B7" t="s">
        <v>23</v>
      </c>
      <c r="C7">
        <v>386.27</v>
      </c>
      <c r="D7">
        <v>7.84</v>
      </c>
      <c r="E7">
        <v>6.33</v>
      </c>
      <c r="F7">
        <v>82.26</v>
      </c>
      <c r="G7">
        <v>12</v>
      </c>
      <c r="H7" t="s">
        <v>76</v>
      </c>
    </row>
    <row r="8" spans="1:8" x14ac:dyDescent="0.3">
      <c r="A8" t="s">
        <v>52</v>
      </c>
      <c r="B8" t="s">
        <v>23</v>
      </c>
      <c r="C8">
        <v>391.23</v>
      </c>
      <c r="D8">
        <v>7.93</v>
      </c>
      <c r="E8">
        <v>6.09</v>
      </c>
      <c r="F8">
        <v>81.430000000000007</v>
      </c>
      <c r="G8">
        <v>12</v>
      </c>
      <c r="H8" t="s">
        <v>76</v>
      </c>
    </row>
    <row r="9" spans="1:8" x14ac:dyDescent="0.3">
      <c r="A9" t="s">
        <v>39</v>
      </c>
      <c r="B9" t="s">
        <v>23</v>
      </c>
      <c r="C9">
        <v>500</v>
      </c>
      <c r="D9">
        <v>8.75</v>
      </c>
      <c r="E9">
        <v>6.43</v>
      </c>
      <c r="F9">
        <v>66.67</v>
      </c>
      <c r="G9">
        <v>12</v>
      </c>
      <c r="H9" t="s">
        <v>76</v>
      </c>
    </row>
    <row r="10" spans="1:8" x14ac:dyDescent="0.3">
      <c r="A10" t="s">
        <v>33</v>
      </c>
      <c r="B10" t="s">
        <v>23</v>
      </c>
      <c r="C10">
        <v>517.65</v>
      </c>
      <c r="D10">
        <v>8.89</v>
      </c>
      <c r="E10">
        <v>6.56</v>
      </c>
      <c r="F10">
        <v>64.760000000000005</v>
      </c>
      <c r="G10">
        <v>12</v>
      </c>
      <c r="H10" t="s">
        <v>76</v>
      </c>
    </row>
    <row r="11" spans="1:8" x14ac:dyDescent="0.3">
      <c r="A11" t="s">
        <v>29</v>
      </c>
      <c r="B11" t="s">
        <v>23</v>
      </c>
      <c r="C11">
        <v>526.51</v>
      </c>
      <c r="D11">
        <v>9.09</v>
      </c>
      <c r="E11">
        <v>6.5</v>
      </c>
      <c r="F11">
        <v>63.85</v>
      </c>
      <c r="G11">
        <v>12</v>
      </c>
      <c r="H11" t="s">
        <v>76</v>
      </c>
    </row>
    <row r="12" spans="1:8" x14ac:dyDescent="0.3">
      <c r="A12" t="s">
        <v>30</v>
      </c>
      <c r="B12" t="s">
        <v>16</v>
      </c>
      <c r="C12">
        <v>415.63</v>
      </c>
      <c r="D12">
        <v>7.14</v>
      </c>
      <c r="E12">
        <v>5.5</v>
      </c>
      <c r="F12">
        <v>77.58</v>
      </c>
      <c r="G12">
        <v>12</v>
      </c>
      <c r="H12" t="s">
        <v>76</v>
      </c>
    </row>
    <row r="13" spans="1:8" x14ac:dyDescent="0.3">
      <c r="A13" t="s">
        <v>53</v>
      </c>
      <c r="B13" t="s">
        <v>23</v>
      </c>
      <c r="C13">
        <v>374.07</v>
      </c>
      <c r="D13">
        <v>7.73</v>
      </c>
      <c r="E13">
        <v>6.27</v>
      </c>
      <c r="F13">
        <v>84.38</v>
      </c>
      <c r="G13">
        <v>12</v>
      </c>
      <c r="H13" t="s">
        <v>76</v>
      </c>
    </row>
    <row r="14" spans="1:8" x14ac:dyDescent="0.3">
      <c r="A14" t="s">
        <v>50</v>
      </c>
      <c r="B14" t="s">
        <v>23</v>
      </c>
      <c r="C14">
        <v>388.14</v>
      </c>
      <c r="D14">
        <v>7.97</v>
      </c>
      <c r="E14">
        <v>6.1</v>
      </c>
      <c r="F14">
        <v>81.94</v>
      </c>
      <c r="G14">
        <v>12</v>
      </c>
      <c r="H14" t="s">
        <v>76</v>
      </c>
    </row>
    <row r="15" spans="1:8" x14ac:dyDescent="0.3">
      <c r="A15" t="s">
        <v>42</v>
      </c>
      <c r="B15" t="s">
        <v>16</v>
      </c>
      <c r="C15">
        <v>391.53</v>
      </c>
      <c r="D15">
        <v>7.11</v>
      </c>
      <c r="E15">
        <v>5.37</v>
      </c>
      <c r="F15">
        <v>81.38</v>
      </c>
      <c r="G15">
        <v>12</v>
      </c>
      <c r="H15" t="s">
        <v>76</v>
      </c>
    </row>
    <row r="16" spans="1:8" x14ac:dyDescent="0.3">
      <c r="A16" t="s">
        <v>44</v>
      </c>
      <c r="B16" t="s">
        <v>23</v>
      </c>
      <c r="C16">
        <v>395.24</v>
      </c>
      <c r="D16">
        <v>8.06</v>
      </c>
      <c r="E16">
        <v>6.24</v>
      </c>
      <c r="F16">
        <v>80.77</v>
      </c>
      <c r="G16">
        <v>12</v>
      </c>
      <c r="H16" t="s">
        <v>76</v>
      </c>
    </row>
    <row r="17" spans="1:8" x14ac:dyDescent="0.3">
      <c r="A17" t="s">
        <v>45</v>
      </c>
      <c r="B17" t="s">
        <v>16</v>
      </c>
      <c r="C17">
        <v>353.1</v>
      </c>
      <c r="D17">
        <v>7.06</v>
      </c>
      <c r="E17">
        <v>5.33</v>
      </c>
      <c r="F17">
        <v>88.28</v>
      </c>
      <c r="G17">
        <v>12</v>
      </c>
      <c r="H17" t="s">
        <v>76</v>
      </c>
    </row>
    <row r="18" spans="1:8" x14ac:dyDescent="0.3">
      <c r="A18" t="s">
        <v>47</v>
      </c>
      <c r="B18" t="s">
        <v>23</v>
      </c>
      <c r="C18">
        <v>404.11</v>
      </c>
      <c r="D18">
        <v>8.11</v>
      </c>
      <c r="E18">
        <v>6.13</v>
      </c>
      <c r="F18">
        <v>79.349999999999994</v>
      </c>
      <c r="G18">
        <v>12</v>
      </c>
      <c r="H18" t="s">
        <v>76</v>
      </c>
    </row>
    <row r="19" spans="1:8" x14ac:dyDescent="0.3">
      <c r="A19" t="s">
        <v>46</v>
      </c>
      <c r="B19" t="s">
        <v>14</v>
      </c>
      <c r="C19">
        <v>348.09</v>
      </c>
      <c r="D19">
        <v>5.85</v>
      </c>
      <c r="E19">
        <v>5.39</v>
      </c>
      <c r="F19">
        <v>89.27</v>
      </c>
      <c r="G19">
        <v>11</v>
      </c>
      <c r="H19" t="s">
        <v>76</v>
      </c>
    </row>
    <row r="20" spans="1:8" x14ac:dyDescent="0.3">
      <c r="A20" t="s">
        <v>41</v>
      </c>
      <c r="B20" t="s">
        <v>16</v>
      </c>
      <c r="C20">
        <v>307.77</v>
      </c>
      <c r="D20">
        <v>6.78</v>
      </c>
      <c r="E20">
        <v>5.25</v>
      </c>
      <c r="F20">
        <v>98.1</v>
      </c>
      <c r="G20">
        <v>11</v>
      </c>
      <c r="H20" t="s">
        <v>76</v>
      </c>
    </row>
    <row r="21" spans="1:8" x14ac:dyDescent="0.3">
      <c r="A21" t="s">
        <v>31</v>
      </c>
      <c r="B21" t="s">
        <v>14</v>
      </c>
      <c r="C21">
        <v>377.06</v>
      </c>
      <c r="D21">
        <v>5.85</v>
      </c>
      <c r="E21">
        <v>5.42</v>
      </c>
      <c r="F21">
        <v>83.85</v>
      </c>
      <c r="G21">
        <v>11</v>
      </c>
      <c r="H21" t="s">
        <v>76</v>
      </c>
    </row>
    <row r="22" spans="1:8" x14ac:dyDescent="0.3">
      <c r="A22" t="s">
        <v>34</v>
      </c>
      <c r="B22" t="s">
        <v>16</v>
      </c>
      <c r="C22">
        <v>261.11</v>
      </c>
      <c r="D22">
        <v>7.14</v>
      </c>
      <c r="E22">
        <v>5.2</v>
      </c>
      <c r="F22">
        <v>83.08</v>
      </c>
      <c r="G22">
        <v>10</v>
      </c>
      <c r="H22" t="s">
        <v>76</v>
      </c>
    </row>
    <row r="23" spans="1:8" x14ac:dyDescent="0.3">
      <c r="A23" t="s">
        <v>35</v>
      </c>
      <c r="B23" t="s">
        <v>14</v>
      </c>
      <c r="C23">
        <v>325.52999999999997</v>
      </c>
      <c r="D23">
        <v>5.59</v>
      </c>
      <c r="E23">
        <v>5.26</v>
      </c>
      <c r="F23">
        <v>94</v>
      </c>
      <c r="G23">
        <v>10</v>
      </c>
      <c r="H23" t="s">
        <v>76</v>
      </c>
    </row>
    <row r="24" spans="1:8" x14ac:dyDescent="0.3">
      <c r="A24" t="s">
        <v>40</v>
      </c>
      <c r="B24" t="s">
        <v>16</v>
      </c>
      <c r="C24">
        <v>261.22000000000003</v>
      </c>
      <c r="D24">
        <v>7.19</v>
      </c>
      <c r="E24">
        <v>5.13</v>
      </c>
      <c r="F24">
        <v>83.05</v>
      </c>
      <c r="G24">
        <v>10</v>
      </c>
      <c r="H24" t="s">
        <v>76</v>
      </c>
    </row>
    <row r="25" spans="1:8" x14ac:dyDescent="0.3">
      <c r="A25" t="s">
        <v>13</v>
      </c>
      <c r="B25" t="s">
        <v>14</v>
      </c>
      <c r="C25">
        <v>318.60000000000002</v>
      </c>
      <c r="D25">
        <v>5.65</v>
      </c>
      <c r="E25">
        <v>5.14</v>
      </c>
      <c r="F25">
        <v>95.56</v>
      </c>
      <c r="G25">
        <v>10</v>
      </c>
      <c r="H25" t="s">
        <v>76</v>
      </c>
    </row>
    <row r="26" spans="1:8" x14ac:dyDescent="0.3">
      <c r="A26" t="s">
        <v>15</v>
      </c>
      <c r="B26" t="s">
        <v>16</v>
      </c>
      <c r="C26">
        <v>242.39</v>
      </c>
      <c r="D26">
        <v>6.55</v>
      </c>
      <c r="E26">
        <v>5.53</v>
      </c>
      <c r="F26">
        <v>87.62</v>
      </c>
      <c r="G26">
        <v>10</v>
      </c>
      <c r="H26" t="s">
        <v>76</v>
      </c>
    </row>
    <row r="27" spans="1:8" x14ac:dyDescent="0.3">
      <c r="A27" t="s">
        <v>24</v>
      </c>
      <c r="B27" t="s">
        <v>16</v>
      </c>
      <c r="C27">
        <v>275</v>
      </c>
      <c r="D27">
        <v>7.1</v>
      </c>
      <c r="E27">
        <v>5</v>
      </c>
      <c r="F27">
        <v>80</v>
      </c>
      <c r="G27">
        <v>10</v>
      </c>
      <c r="H27" t="s">
        <v>76</v>
      </c>
    </row>
    <row r="28" spans="1:8" x14ac:dyDescent="0.3">
      <c r="A28" t="s">
        <v>25</v>
      </c>
      <c r="B28" t="s">
        <v>14</v>
      </c>
      <c r="C28">
        <v>332.43</v>
      </c>
      <c r="D28">
        <v>5.52</v>
      </c>
      <c r="E28">
        <v>5</v>
      </c>
      <c r="F28">
        <v>92.5</v>
      </c>
      <c r="G28">
        <v>10</v>
      </c>
      <c r="H28" t="s">
        <v>76</v>
      </c>
    </row>
    <row r="29" spans="1:8" x14ac:dyDescent="0.3">
      <c r="A29" t="s">
        <v>27</v>
      </c>
      <c r="B29" t="s">
        <v>16</v>
      </c>
      <c r="C29">
        <v>265.38</v>
      </c>
      <c r="D29">
        <v>6.43</v>
      </c>
      <c r="E29">
        <v>5.28</v>
      </c>
      <c r="F29">
        <v>82.11</v>
      </c>
      <c r="G29">
        <v>10</v>
      </c>
      <c r="H29" t="s">
        <v>76</v>
      </c>
    </row>
    <row r="30" spans="1:8" x14ac:dyDescent="0.3">
      <c r="A30" t="s">
        <v>43</v>
      </c>
      <c r="B30" t="s">
        <v>14</v>
      </c>
      <c r="C30">
        <v>344.44</v>
      </c>
      <c r="D30">
        <v>5.83</v>
      </c>
      <c r="E30">
        <v>5.24</v>
      </c>
      <c r="F30">
        <v>90</v>
      </c>
      <c r="G30">
        <v>10</v>
      </c>
      <c r="H30" t="s">
        <v>76</v>
      </c>
    </row>
    <row r="31" spans="1:8" x14ac:dyDescent="0.3">
      <c r="A31" t="s">
        <v>11</v>
      </c>
      <c r="B31" t="s">
        <v>8</v>
      </c>
      <c r="C31">
        <v>211.86</v>
      </c>
      <c r="D31">
        <v>6.77</v>
      </c>
      <c r="E31">
        <v>5.48</v>
      </c>
      <c r="F31">
        <v>128.26</v>
      </c>
      <c r="G31">
        <v>9</v>
      </c>
      <c r="H31" t="s">
        <v>77</v>
      </c>
    </row>
    <row r="32" spans="1:8" x14ac:dyDescent="0.3">
      <c r="A32" t="s">
        <v>28</v>
      </c>
      <c r="B32" t="s">
        <v>14</v>
      </c>
      <c r="C32">
        <v>306.77999999999997</v>
      </c>
      <c r="D32">
        <v>4.8099999999999996</v>
      </c>
      <c r="E32">
        <v>4.8</v>
      </c>
      <c r="F32">
        <v>98.33</v>
      </c>
      <c r="G32">
        <v>9</v>
      </c>
      <c r="H32" t="s">
        <v>77</v>
      </c>
    </row>
    <row r="33" spans="1:8" x14ac:dyDescent="0.3">
      <c r="A33" t="s">
        <v>17</v>
      </c>
      <c r="B33" t="s">
        <v>14</v>
      </c>
      <c r="C33">
        <v>306.25</v>
      </c>
      <c r="D33">
        <v>5</v>
      </c>
      <c r="E33">
        <v>4.8099999999999996</v>
      </c>
      <c r="F33">
        <v>98.46</v>
      </c>
      <c r="G33">
        <v>9</v>
      </c>
      <c r="H33" t="s">
        <v>77</v>
      </c>
    </row>
    <row r="34" spans="1:8" x14ac:dyDescent="0.3">
      <c r="A34" t="s">
        <v>37</v>
      </c>
      <c r="B34" t="s">
        <v>16</v>
      </c>
      <c r="C34">
        <v>206.67</v>
      </c>
      <c r="D34">
        <v>6.73</v>
      </c>
      <c r="E34">
        <v>4.97</v>
      </c>
      <c r="F34">
        <v>97.83</v>
      </c>
      <c r="G34">
        <v>9</v>
      </c>
      <c r="H34" t="s">
        <v>77</v>
      </c>
    </row>
    <row r="35" spans="1:8" x14ac:dyDescent="0.3">
      <c r="A35" t="s">
        <v>10</v>
      </c>
      <c r="B35" t="s">
        <v>8</v>
      </c>
      <c r="C35">
        <v>202.04</v>
      </c>
      <c r="D35">
        <v>6.73</v>
      </c>
      <c r="E35">
        <v>5.29</v>
      </c>
      <c r="F35">
        <v>132.43</v>
      </c>
      <c r="G35">
        <v>9</v>
      </c>
      <c r="H35" t="s">
        <v>77</v>
      </c>
    </row>
    <row r="36" spans="1:8" x14ac:dyDescent="0.3">
      <c r="A36" t="s">
        <v>20</v>
      </c>
      <c r="B36" t="s">
        <v>16</v>
      </c>
      <c r="C36">
        <v>218.07</v>
      </c>
      <c r="D36">
        <v>6.3</v>
      </c>
      <c r="E36">
        <v>5.18</v>
      </c>
      <c r="F36">
        <v>94.32</v>
      </c>
      <c r="G36">
        <v>8</v>
      </c>
      <c r="H36" t="s">
        <v>77</v>
      </c>
    </row>
    <row r="37" spans="1:8" x14ac:dyDescent="0.3">
      <c r="A37" t="s">
        <v>18</v>
      </c>
      <c r="B37" t="s">
        <v>16</v>
      </c>
      <c r="C37">
        <v>220.55</v>
      </c>
      <c r="D37">
        <v>6</v>
      </c>
      <c r="E37">
        <v>5.2</v>
      </c>
      <c r="F37">
        <v>93.59</v>
      </c>
      <c r="G37">
        <v>8</v>
      </c>
      <c r="H37" t="s">
        <v>77</v>
      </c>
    </row>
    <row r="38" spans="1:8" x14ac:dyDescent="0.3">
      <c r="A38" t="s">
        <v>19</v>
      </c>
      <c r="B38" t="s">
        <v>14</v>
      </c>
      <c r="C38">
        <v>262.95999999999998</v>
      </c>
      <c r="D38">
        <v>4.58</v>
      </c>
      <c r="E38">
        <v>4.45</v>
      </c>
      <c r="F38">
        <v>110.2</v>
      </c>
      <c r="G38">
        <v>8</v>
      </c>
      <c r="H38" t="s">
        <v>77</v>
      </c>
    </row>
    <row r="39" spans="1:8" x14ac:dyDescent="0.3">
      <c r="A39" t="s">
        <v>12</v>
      </c>
      <c r="B39" t="s">
        <v>8</v>
      </c>
      <c r="C39">
        <v>205.45</v>
      </c>
      <c r="D39">
        <v>6.55</v>
      </c>
      <c r="E39">
        <v>5.53</v>
      </c>
      <c r="F39">
        <v>130.94999999999999</v>
      </c>
      <c r="G39">
        <v>8</v>
      </c>
      <c r="H39" t="s">
        <v>77</v>
      </c>
    </row>
    <row r="40" spans="1:8" x14ac:dyDescent="0.3">
      <c r="A40" t="s">
        <v>32</v>
      </c>
      <c r="B40" t="s">
        <v>16</v>
      </c>
      <c r="C40">
        <v>193.02</v>
      </c>
      <c r="D40">
        <v>6.23</v>
      </c>
      <c r="E40">
        <v>5.09</v>
      </c>
      <c r="F40">
        <v>102.38</v>
      </c>
      <c r="G40">
        <v>8</v>
      </c>
      <c r="H40" t="s">
        <v>77</v>
      </c>
    </row>
    <row r="41" spans="1:8" x14ac:dyDescent="0.3">
      <c r="A41" t="s">
        <v>21</v>
      </c>
      <c r="B41" t="s">
        <v>8</v>
      </c>
      <c r="C41">
        <v>180.9</v>
      </c>
      <c r="D41">
        <v>6.58</v>
      </c>
      <c r="E41">
        <v>5</v>
      </c>
      <c r="F41">
        <v>142.4</v>
      </c>
      <c r="G41">
        <v>7</v>
      </c>
      <c r="H41" t="s">
        <v>77</v>
      </c>
    </row>
    <row r="42" spans="1:8" x14ac:dyDescent="0.3">
      <c r="A42" t="s">
        <v>7</v>
      </c>
      <c r="B42" t="s">
        <v>8</v>
      </c>
      <c r="C42">
        <v>187.18</v>
      </c>
      <c r="D42">
        <v>6.67</v>
      </c>
      <c r="E42">
        <v>5</v>
      </c>
      <c r="F42">
        <v>139.29</v>
      </c>
      <c r="G42">
        <v>7</v>
      </c>
      <c r="H42" t="s">
        <v>77</v>
      </c>
    </row>
    <row r="43" spans="1:8" x14ac:dyDescent="0.3">
      <c r="A43" t="s">
        <v>38</v>
      </c>
      <c r="B43" t="s">
        <v>14</v>
      </c>
      <c r="C43">
        <v>254.43</v>
      </c>
      <c r="D43">
        <v>5</v>
      </c>
      <c r="E43">
        <v>5</v>
      </c>
      <c r="F43">
        <v>112.86</v>
      </c>
      <c r="G43">
        <v>7</v>
      </c>
      <c r="H43" t="s">
        <v>77</v>
      </c>
    </row>
    <row r="44" spans="1:8" x14ac:dyDescent="0.3">
      <c r="A44" t="s">
        <v>9</v>
      </c>
      <c r="B44" t="s">
        <v>8</v>
      </c>
      <c r="C44">
        <v>179.07</v>
      </c>
      <c r="D44">
        <v>6.67</v>
      </c>
      <c r="E44">
        <v>5</v>
      </c>
      <c r="F44">
        <v>143.33000000000001</v>
      </c>
      <c r="G44">
        <v>7</v>
      </c>
      <c r="H44" t="s">
        <v>77</v>
      </c>
    </row>
    <row r="45" spans="1:8" x14ac:dyDescent="0.3">
      <c r="A45" t="s">
        <v>36</v>
      </c>
      <c r="B45" t="s">
        <v>14</v>
      </c>
      <c r="C45">
        <v>233.33</v>
      </c>
      <c r="D45">
        <v>4.71</v>
      </c>
      <c r="E45">
        <v>4.79</v>
      </c>
      <c r="F45">
        <v>120</v>
      </c>
      <c r="G45">
        <v>6</v>
      </c>
      <c r="H45" t="s">
        <v>78</v>
      </c>
    </row>
    <row r="46" spans="1:8" x14ac:dyDescent="0.3">
      <c r="A46" t="s">
        <v>51</v>
      </c>
      <c r="B46" t="s">
        <v>49</v>
      </c>
      <c r="C46">
        <v>33.33</v>
      </c>
      <c r="D46">
        <v>4.2699999999999996</v>
      </c>
      <c r="E46">
        <v>3.43</v>
      </c>
      <c r="F46">
        <v>225</v>
      </c>
      <c r="G46">
        <v>4</v>
      </c>
      <c r="H46" t="s">
        <v>78</v>
      </c>
    </row>
    <row r="47" spans="1:8" x14ac:dyDescent="0.3">
      <c r="A47" t="s">
        <v>55</v>
      </c>
      <c r="B47" t="s">
        <v>49</v>
      </c>
      <c r="C47">
        <v>22.73</v>
      </c>
      <c r="D47">
        <v>4.7300000000000004</v>
      </c>
      <c r="E47">
        <v>3.46</v>
      </c>
      <c r="F47">
        <v>244.44</v>
      </c>
      <c r="G47">
        <v>4</v>
      </c>
      <c r="H47" t="s">
        <v>78</v>
      </c>
    </row>
    <row r="48" spans="1:8" x14ac:dyDescent="0.3">
      <c r="A48" t="s">
        <v>56</v>
      </c>
      <c r="B48" t="s">
        <v>49</v>
      </c>
      <c r="C48">
        <v>55.17</v>
      </c>
      <c r="D48">
        <v>4.74</v>
      </c>
      <c r="E48">
        <v>3.33</v>
      </c>
      <c r="F48">
        <v>193.33</v>
      </c>
      <c r="G48">
        <v>4</v>
      </c>
      <c r="H48" t="s">
        <v>78</v>
      </c>
    </row>
    <row r="49" spans="1:8" x14ac:dyDescent="0.3">
      <c r="A49" t="s">
        <v>60</v>
      </c>
      <c r="B49" t="s">
        <v>49</v>
      </c>
      <c r="C49">
        <v>14.71</v>
      </c>
      <c r="D49">
        <v>4.32</v>
      </c>
      <c r="E49">
        <v>3.42</v>
      </c>
      <c r="F49">
        <v>261.54000000000002</v>
      </c>
      <c r="G49">
        <v>4</v>
      </c>
      <c r="H49" t="s">
        <v>78</v>
      </c>
    </row>
    <row r="50" spans="1:8" x14ac:dyDescent="0.3">
      <c r="A50" t="s">
        <v>54</v>
      </c>
      <c r="B50" t="s">
        <v>49</v>
      </c>
      <c r="C50">
        <v>-3.23</v>
      </c>
      <c r="D50">
        <v>4.05</v>
      </c>
      <c r="E50">
        <v>3.13</v>
      </c>
      <c r="F50">
        <v>310</v>
      </c>
      <c r="G50">
        <v>4</v>
      </c>
      <c r="H50" t="s">
        <v>78</v>
      </c>
    </row>
    <row r="51" spans="1:8" x14ac:dyDescent="0.3">
      <c r="A51" t="s">
        <v>48</v>
      </c>
      <c r="B51" t="s">
        <v>49</v>
      </c>
      <c r="C51">
        <v>7.69</v>
      </c>
      <c r="D51">
        <v>4.57</v>
      </c>
      <c r="E51">
        <v>3.33</v>
      </c>
      <c r="F51">
        <v>278.57</v>
      </c>
      <c r="G51">
        <v>4</v>
      </c>
      <c r="H51" t="s">
        <v>78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4077-73AA-4B1A-B39C-3C60BC44C6EF}">
  <dimension ref="A1:K64"/>
  <sheetViews>
    <sheetView tabSelected="1" workbookViewId="0">
      <selection activeCell="L20" sqref="L20"/>
    </sheetView>
  </sheetViews>
  <sheetFormatPr defaultRowHeight="14.4" x14ac:dyDescent="0.3"/>
  <cols>
    <col min="1" max="1" width="24.21875" customWidth="1"/>
    <col min="2" max="2" width="14.44140625" bestFit="1" customWidth="1"/>
    <col min="4" max="4" width="10.77734375" customWidth="1"/>
    <col min="5" max="6" width="13" customWidth="1"/>
    <col min="7" max="7" width="12.6640625" customWidth="1"/>
    <col min="8" max="8" width="16" customWidth="1"/>
    <col min="9" max="9" width="15.44140625" customWidth="1"/>
    <col min="10" max="10" width="14.88671875" customWidth="1"/>
    <col min="12" max="12" width="12.88671875" customWidth="1"/>
    <col min="13" max="13" width="15.33203125" customWidth="1"/>
  </cols>
  <sheetData>
    <row r="1" spans="1:11" ht="31.2" x14ac:dyDescent="0.6">
      <c r="A1" s="16" t="s">
        <v>79</v>
      </c>
      <c r="B1" s="16"/>
      <c r="C1" s="16"/>
      <c r="D1" s="16"/>
      <c r="E1" s="16"/>
      <c r="F1" s="16"/>
      <c r="G1" s="16"/>
      <c r="H1" s="16"/>
      <c r="I1" s="16"/>
    </row>
    <row r="3" spans="1:11" ht="18" x14ac:dyDescent="0.35">
      <c r="A3" s="1" t="s">
        <v>80</v>
      </c>
      <c r="D3" s="1" t="s">
        <v>86</v>
      </c>
    </row>
    <row r="4" spans="1:11" x14ac:dyDescent="0.3">
      <c r="A4" s="4" t="s">
        <v>81</v>
      </c>
      <c r="B4" s="5">
        <f>COUNTA(Raw_Campaign_Overview!A2:A51)</f>
        <v>50</v>
      </c>
      <c r="D4" s="12" t="s">
        <v>87</v>
      </c>
      <c r="E4" s="12" t="s">
        <v>82</v>
      </c>
      <c r="F4" s="12" t="s">
        <v>83</v>
      </c>
      <c r="G4" s="12" t="s">
        <v>88</v>
      </c>
      <c r="H4" s="12" t="s">
        <v>89</v>
      </c>
      <c r="I4" s="12" t="s">
        <v>90</v>
      </c>
      <c r="J4" s="12" t="s">
        <v>91</v>
      </c>
    </row>
    <row r="5" spans="1:11" x14ac:dyDescent="0.3">
      <c r="A5" s="6" t="s">
        <v>82</v>
      </c>
      <c r="B5" s="7">
        <f>SUM(_3_Channel_Wise_Total_Spend_And_Revenue[Total_Budget])</f>
        <v>5525000</v>
      </c>
      <c r="D5" t="str">
        <f>Raw_Channel_ROI!A2</f>
        <v>Email</v>
      </c>
      <c r="E5" s="14">
        <f>Raw_Channel_ROI!B2</f>
        <v>820000</v>
      </c>
      <c r="F5" s="14">
        <f>Raw_Channel_ROI!D2</f>
        <v>4492000</v>
      </c>
      <c r="G5" s="2">
        <f>Raw_Channel_ROI!E2</f>
        <v>462.2</v>
      </c>
      <c r="H5" s="2">
        <f>Raw_Channel_ROI!F2</f>
        <v>8.27</v>
      </c>
      <c r="I5" s="2">
        <f>Raw_Channel_ROI!G2</f>
        <v>6.34</v>
      </c>
      <c r="J5">
        <f>RANK(G5, $G$5:$G$9, 0)</f>
        <v>1</v>
      </c>
    </row>
    <row r="6" spans="1:11" x14ac:dyDescent="0.3">
      <c r="A6" s="6" t="s">
        <v>83</v>
      </c>
      <c r="B6" s="7">
        <f>SUM(_3_Channel_Wise_Total_Spend_And_Revenue[Total_revenue])</f>
        <v>21082000</v>
      </c>
      <c r="D6" t="str">
        <f>Raw_Channel_ROI!A3</f>
        <v>Paid Ads</v>
      </c>
      <c r="E6" s="14">
        <f>Raw_Channel_ROI!B3</f>
        <v>1780000</v>
      </c>
      <c r="F6" s="14">
        <f>Raw_Channel_ROI!D3</f>
        <v>7312000</v>
      </c>
      <c r="G6" s="2">
        <f>Raw_Channel_ROI!E3</f>
        <v>316.16000000000003</v>
      </c>
      <c r="H6" s="2">
        <f>Raw_Channel_ROI!F3</f>
        <v>5.31</v>
      </c>
      <c r="I6" s="2">
        <f>Raw_Channel_ROI!G3</f>
        <v>5.03</v>
      </c>
      <c r="J6">
        <f t="shared" ref="J6:J9" si="0">RANK(G6, $G$5:$G$9, 0)</f>
        <v>2</v>
      </c>
    </row>
    <row r="7" spans="1:11" x14ac:dyDescent="0.3">
      <c r="A7" s="8" t="s">
        <v>84</v>
      </c>
      <c r="B7" s="9">
        <f>(B6-B5)/B5*100</f>
        <v>281.5746606334842</v>
      </c>
      <c r="D7" t="str">
        <f>Raw_Channel_ROI!A4</f>
        <v>Social Media</v>
      </c>
      <c r="E7" s="14">
        <f>Raw_Channel_ROI!B4</f>
        <v>1285000</v>
      </c>
      <c r="F7" s="14">
        <f>Raw_Channel_ROI!D4</f>
        <v>4872000</v>
      </c>
      <c r="G7" s="2">
        <f>Raw_Channel_ROI!E4</f>
        <v>287.27999999999997</v>
      </c>
      <c r="H7" s="2">
        <f>Raw_Channel_ROI!F4</f>
        <v>6.75</v>
      </c>
      <c r="I7" s="2">
        <f>Raw_Channel_ROI!G4</f>
        <v>5.23</v>
      </c>
      <c r="J7">
        <f t="shared" si="0"/>
        <v>3</v>
      </c>
    </row>
    <row r="8" spans="1:11" x14ac:dyDescent="0.3">
      <c r="A8" s="10" t="s">
        <v>85</v>
      </c>
      <c r="B8" s="11" t="str">
        <f>INDEX(Raw_Channel_ROI!A2:A6,MATCH(MAX(Raw_Channel_ROI!E2:E6),Raw_Channel_ROI!E2:E6,0))</f>
        <v>Email</v>
      </c>
      <c r="D8" t="str">
        <f>Raw_Channel_ROI!A5</f>
        <v>Influencer</v>
      </c>
      <c r="E8" s="14">
        <f>Raw_Channel_ROI!B5</f>
        <v>1430000</v>
      </c>
      <c r="F8" s="14">
        <f>Raw_Channel_ROI!D5</f>
        <v>4160000</v>
      </c>
      <c r="G8" s="2">
        <f>Raw_Channel_ROI!E5</f>
        <v>196.51</v>
      </c>
      <c r="H8" s="2">
        <f>Raw_Channel_ROI!F5</f>
        <v>6.66</v>
      </c>
      <c r="I8" s="2">
        <f>Raw_Channel_ROI!G5</f>
        <v>5.21</v>
      </c>
      <c r="J8">
        <f t="shared" si="0"/>
        <v>4</v>
      </c>
    </row>
    <row r="9" spans="1:11" x14ac:dyDescent="0.3">
      <c r="D9" t="str">
        <f>Raw_Channel_ROI!A6</f>
        <v>SMS</v>
      </c>
      <c r="E9" s="14">
        <f>Raw_Channel_ROI!B6</f>
        <v>210000</v>
      </c>
      <c r="F9" s="14">
        <f>Raw_Channel_ROI!D6</f>
        <v>246000</v>
      </c>
      <c r="G9" s="2">
        <f>Raw_Channel_ROI!E6</f>
        <v>20.59</v>
      </c>
      <c r="H9" s="2">
        <f>Raw_Channel_ROI!F6</f>
        <v>4.4400000000000004</v>
      </c>
      <c r="I9" s="2">
        <f>Raw_Channel_ROI!G6</f>
        <v>3.35</v>
      </c>
      <c r="J9">
        <f t="shared" si="0"/>
        <v>5</v>
      </c>
    </row>
    <row r="10" spans="1:11" x14ac:dyDescent="0.3">
      <c r="D10" t="s">
        <v>92</v>
      </c>
      <c r="E10" s="15">
        <f>SUM(E5:E9)</f>
        <v>5525000</v>
      </c>
      <c r="F10" s="15">
        <f>SUM(F5:F9)</f>
        <v>21082000</v>
      </c>
      <c r="G10">
        <f>ROUND((F10-E10)/E10*100,2)</f>
        <v>281.57</v>
      </c>
    </row>
    <row r="13" spans="1:11" ht="18" x14ac:dyDescent="0.35">
      <c r="A13" s="1" t="s">
        <v>93</v>
      </c>
    </row>
    <row r="14" spans="1:11" x14ac:dyDescent="0.3">
      <c r="A14" s="12" t="s">
        <v>94</v>
      </c>
      <c r="B14" s="12" t="s">
        <v>87</v>
      </c>
      <c r="C14" s="12" t="s">
        <v>95</v>
      </c>
      <c r="D14" s="12" t="s">
        <v>96</v>
      </c>
      <c r="E14" s="12" t="s">
        <v>97</v>
      </c>
      <c r="F14" s="12" t="s">
        <v>73</v>
      </c>
      <c r="G14" s="12" t="s">
        <v>98</v>
      </c>
      <c r="H14" s="12" t="s">
        <v>99</v>
      </c>
      <c r="J14" s="17" t="s">
        <v>103</v>
      </c>
    </row>
    <row r="15" spans="1:11" x14ac:dyDescent="0.3">
      <c r="A15" t="str">
        <f>Raw_Efficiency_Score!A2</f>
        <v>New Year Sale Email Blast</v>
      </c>
      <c r="B15" t="str">
        <f>Raw_Efficiency_Score!B2</f>
        <v>Email</v>
      </c>
      <c r="C15" s="2">
        <f>Raw_Efficiency_Score!C2</f>
        <v>566.66999999999996</v>
      </c>
      <c r="D15" s="2">
        <f>Raw_Efficiency_Score!D2</f>
        <v>8</v>
      </c>
      <c r="E15" s="2">
        <f>Raw_Efficiency_Score!E2</f>
        <v>6.67</v>
      </c>
      <c r="F15" s="13">
        <f>Raw_Efficiency_Score!F2</f>
        <v>60</v>
      </c>
      <c r="G15" s="3">
        <f>Raw_Efficiency_Score!G2</f>
        <v>12</v>
      </c>
      <c r="H15" t="str">
        <f>Raw_Efficiency_Score!H2</f>
        <v>Highly Efficient</v>
      </c>
      <c r="J15" s="17" t="s">
        <v>101</v>
      </c>
      <c r="K15" s="17" t="s">
        <v>102</v>
      </c>
    </row>
    <row r="16" spans="1:11" x14ac:dyDescent="0.3">
      <c r="A16" t="str">
        <f>Raw_Efficiency_Score!A3</f>
        <v>Valentine Email Campaign</v>
      </c>
      <c r="B16" t="str">
        <f>Raw_Efficiency_Score!B3</f>
        <v>Email</v>
      </c>
      <c r="C16" s="2">
        <f>Raw_Efficiency_Score!C3</f>
        <v>554.54999999999995</v>
      </c>
      <c r="D16" s="2">
        <f>Raw_Efficiency_Score!D3</f>
        <v>8.4600000000000009</v>
      </c>
      <c r="E16" s="2">
        <f>Raw_Efficiency_Score!E3</f>
        <v>6.55</v>
      </c>
      <c r="F16" s="13">
        <f>Raw_Efficiency_Score!F3</f>
        <v>61.11</v>
      </c>
      <c r="G16" s="3">
        <f>Raw_Efficiency_Score!G3</f>
        <v>12</v>
      </c>
      <c r="H16" t="str">
        <f>Raw_Efficiency_Score!H3</f>
        <v>Highly Efficient</v>
      </c>
      <c r="J16" t="s">
        <v>76</v>
      </c>
      <c r="K16">
        <f>COUNTIF(H15:H64,"Highly Efficient")</f>
        <v>29</v>
      </c>
    </row>
    <row r="17" spans="1:11" x14ac:dyDescent="0.3">
      <c r="A17" t="str">
        <f>Raw_Efficiency_Score!A4</f>
        <v>Holi Email Blast</v>
      </c>
      <c r="B17" t="str">
        <f>Raw_Efficiency_Score!B4</f>
        <v>Email</v>
      </c>
      <c r="C17" s="2">
        <f>Raw_Efficiency_Score!C4</f>
        <v>541.51</v>
      </c>
      <c r="D17" s="2">
        <f>Raw_Efficiency_Score!D4</f>
        <v>9.2899999999999991</v>
      </c>
      <c r="E17" s="2">
        <f>Raw_Efficiency_Score!E4</f>
        <v>6.54</v>
      </c>
      <c r="F17" s="13">
        <f>Raw_Efficiency_Score!F4</f>
        <v>62.35</v>
      </c>
      <c r="G17" s="3">
        <f>Raw_Efficiency_Score!G4</f>
        <v>12</v>
      </c>
      <c r="H17" t="str">
        <f>Raw_Efficiency_Score!H4</f>
        <v>Highly Efficient</v>
      </c>
      <c r="J17" t="s">
        <v>77</v>
      </c>
      <c r="K17">
        <f>COUNTIF(H15:H64,"Efficient")</f>
        <v>14</v>
      </c>
    </row>
    <row r="18" spans="1:11" x14ac:dyDescent="0.3">
      <c r="A18" t="str">
        <f>Raw_Efficiency_Score!A5</f>
        <v>April Email Newsletter</v>
      </c>
      <c r="B18" t="str">
        <f>Raw_Efficiency_Score!B5</f>
        <v>Email</v>
      </c>
      <c r="C18" s="2">
        <f>Raw_Efficiency_Score!C5</f>
        <v>494.87</v>
      </c>
      <c r="D18" s="2">
        <f>Raw_Efficiency_Score!D5</f>
        <v>7.92</v>
      </c>
      <c r="E18" s="2">
        <f>Raw_Efficiency_Score!E5</f>
        <v>6.11</v>
      </c>
      <c r="F18" s="13">
        <f>Raw_Efficiency_Score!F5</f>
        <v>67.239999999999995</v>
      </c>
      <c r="G18" s="3">
        <f>Raw_Efficiency_Score!G5</f>
        <v>12</v>
      </c>
      <c r="H18" t="str">
        <f>Raw_Efficiency_Score!H5</f>
        <v>Highly Efficient</v>
      </c>
      <c r="J18" t="s">
        <v>78</v>
      </c>
      <c r="K18">
        <f>COUNTIF(H15:H64,"Average")</f>
        <v>7</v>
      </c>
    </row>
    <row r="19" spans="1:11" x14ac:dyDescent="0.3">
      <c r="A19" t="str">
        <f>Raw_Efficiency_Score!A6</f>
        <v>May Day Email Campaign</v>
      </c>
      <c r="B19" t="str">
        <f>Raw_Efficiency_Score!B6</f>
        <v>Email</v>
      </c>
      <c r="C19" s="2">
        <f>Raw_Efficiency_Score!C6</f>
        <v>453.19</v>
      </c>
      <c r="D19" s="2">
        <f>Raw_Efficiency_Score!D6</f>
        <v>7.78</v>
      </c>
      <c r="E19" s="2">
        <f>Raw_Efficiency_Score!E6</f>
        <v>6.19</v>
      </c>
      <c r="F19" s="13">
        <f>Raw_Efficiency_Score!F6</f>
        <v>72.31</v>
      </c>
      <c r="G19" s="3">
        <f>Raw_Efficiency_Score!G6</f>
        <v>12</v>
      </c>
      <c r="H19" t="str">
        <f>Raw_Efficiency_Score!H6</f>
        <v>Highly Efficient</v>
      </c>
      <c r="J19" t="s">
        <v>100</v>
      </c>
      <c r="K19">
        <f>COUNTIF(H15:H64,"Inefficient")</f>
        <v>0</v>
      </c>
    </row>
    <row r="20" spans="1:11" x14ac:dyDescent="0.3">
      <c r="A20" t="str">
        <f>Raw_Efficiency_Score!A7</f>
        <v>June Email Campaign</v>
      </c>
      <c r="B20" t="str">
        <f>Raw_Efficiency_Score!B7</f>
        <v>Email</v>
      </c>
      <c r="C20" s="2">
        <f>Raw_Efficiency_Score!C7</f>
        <v>386.27</v>
      </c>
      <c r="D20" s="2">
        <f>Raw_Efficiency_Score!D7</f>
        <v>7.84</v>
      </c>
      <c r="E20" s="2">
        <f>Raw_Efficiency_Score!E7</f>
        <v>6.33</v>
      </c>
      <c r="F20" s="13">
        <f>Raw_Efficiency_Score!F7</f>
        <v>82.26</v>
      </c>
      <c r="G20" s="3">
        <f>Raw_Efficiency_Score!G7</f>
        <v>12</v>
      </c>
      <c r="H20" t="str">
        <f>Raw_Efficiency_Score!H7</f>
        <v>Highly Efficient</v>
      </c>
    </row>
    <row r="21" spans="1:11" x14ac:dyDescent="0.3">
      <c r="A21" t="str">
        <f>Raw_Efficiency_Score!A8</f>
        <v>July Email Campaign</v>
      </c>
      <c r="B21" t="str">
        <f>Raw_Efficiency_Score!B8</f>
        <v>Email</v>
      </c>
      <c r="C21" s="2">
        <f>Raw_Efficiency_Score!C8</f>
        <v>391.23</v>
      </c>
      <c r="D21" s="2">
        <f>Raw_Efficiency_Score!D8</f>
        <v>7.93</v>
      </c>
      <c r="E21" s="2">
        <f>Raw_Efficiency_Score!E8</f>
        <v>6.09</v>
      </c>
      <c r="F21" s="13">
        <f>Raw_Efficiency_Score!F8</f>
        <v>81.430000000000007</v>
      </c>
      <c r="G21" s="3">
        <f>Raw_Efficiency_Score!G8</f>
        <v>12</v>
      </c>
      <c r="H21" t="str">
        <f>Raw_Efficiency_Score!H8</f>
        <v>Highly Efficient</v>
      </c>
    </row>
    <row r="22" spans="1:11" x14ac:dyDescent="0.3">
      <c r="A22" t="str">
        <f>Raw_Efficiency_Score!A9</f>
        <v>Independence Day Email</v>
      </c>
      <c r="B22" t="str">
        <f>Raw_Efficiency_Score!B9</f>
        <v>Email</v>
      </c>
      <c r="C22" s="2">
        <f>Raw_Efficiency_Score!C9</f>
        <v>500</v>
      </c>
      <c r="D22" s="2">
        <f>Raw_Efficiency_Score!D9</f>
        <v>8.75</v>
      </c>
      <c r="E22" s="2">
        <f>Raw_Efficiency_Score!E9</f>
        <v>6.43</v>
      </c>
      <c r="F22" s="13">
        <f>Raw_Efficiency_Score!F9</f>
        <v>66.67</v>
      </c>
      <c r="G22" s="3">
        <f>Raw_Efficiency_Score!G9</f>
        <v>12</v>
      </c>
      <c r="H22" t="str">
        <f>Raw_Efficiency_Score!H9</f>
        <v>Highly Efficient</v>
      </c>
    </row>
    <row r="23" spans="1:11" x14ac:dyDescent="0.3">
      <c r="A23" t="str">
        <f>Raw_Efficiency_Score!A10</f>
        <v>Navratri Email Blast</v>
      </c>
      <c r="B23" t="str">
        <f>Raw_Efficiency_Score!B10</f>
        <v>Email</v>
      </c>
      <c r="C23" s="2">
        <f>Raw_Efficiency_Score!C10</f>
        <v>517.65</v>
      </c>
      <c r="D23" s="2">
        <f>Raw_Efficiency_Score!D10</f>
        <v>8.89</v>
      </c>
      <c r="E23" s="2">
        <f>Raw_Efficiency_Score!E10</f>
        <v>6.56</v>
      </c>
      <c r="F23" s="13">
        <f>Raw_Efficiency_Score!F10</f>
        <v>64.760000000000005</v>
      </c>
      <c r="G23" s="3">
        <f>Raw_Efficiency_Score!G10</f>
        <v>12</v>
      </c>
      <c r="H23" t="str">
        <f>Raw_Efficiency_Score!H10</f>
        <v>Highly Efficient</v>
      </c>
    </row>
    <row r="24" spans="1:11" x14ac:dyDescent="0.3">
      <c r="A24" t="str">
        <f>Raw_Efficiency_Score!A11</f>
        <v>Diwali Email Campaign</v>
      </c>
      <c r="B24" t="str">
        <f>Raw_Efficiency_Score!B11</f>
        <v>Email</v>
      </c>
      <c r="C24" s="2">
        <f>Raw_Efficiency_Score!C11</f>
        <v>526.51</v>
      </c>
      <c r="D24" s="2">
        <f>Raw_Efficiency_Score!D11</f>
        <v>9.09</v>
      </c>
      <c r="E24" s="2">
        <f>Raw_Efficiency_Score!E11</f>
        <v>6.5</v>
      </c>
      <c r="F24" s="13">
        <f>Raw_Efficiency_Score!F11</f>
        <v>63.85</v>
      </c>
      <c r="G24" s="3">
        <f>Raw_Efficiency_Score!G11</f>
        <v>12</v>
      </c>
      <c r="H24" t="str">
        <f>Raw_Efficiency_Score!H11</f>
        <v>Highly Efficient</v>
      </c>
    </row>
    <row r="25" spans="1:11" x14ac:dyDescent="0.3">
      <c r="A25" t="str">
        <f>Raw_Efficiency_Score!A12</f>
        <v>Diwali Social Media</v>
      </c>
      <c r="B25" t="str">
        <f>Raw_Efficiency_Score!B12</f>
        <v>Social Media</v>
      </c>
      <c r="C25" s="2">
        <f>Raw_Efficiency_Score!C12</f>
        <v>415.63</v>
      </c>
      <c r="D25" s="2">
        <f>Raw_Efficiency_Score!D12</f>
        <v>7.14</v>
      </c>
      <c r="E25" s="2">
        <f>Raw_Efficiency_Score!E12</f>
        <v>5.5</v>
      </c>
      <c r="F25" s="13">
        <f>Raw_Efficiency_Score!F12</f>
        <v>77.58</v>
      </c>
      <c r="G25" s="3">
        <f>Raw_Efficiency_Score!G12</f>
        <v>12</v>
      </c>
      <c r="H25" t="str">
        <f>Raw_Efficiency_Score!H12</f>
        <v>Highly Efficient</v>
      </c>
    </row>
    <row r="26" spans="1:11" x14ac:dyDescent="0.3">
      <c r="A26" t="str">
        <f>Raw_Efficiency_Score!A13</f>
        <v>September Email Campaign</v>
      </c>
      <c r="B26" t="str">
        <f>Raw_Efficiency_Score!B13</f>
        <v>Email</v>
      </c>
      <c r="C26" s="2">
        <f>Raw_Efficiency_Score!C13</f>
        <v>374.07</v>
      </c>
      <c r="D26" s="2">
        <f>Raw_Efficiency_Score!D13</f>
        <v>7.73</v>
      </c>
      <c r="E26" s="2">
        <f>Raw_Efficiency_Score!E13</f>
        <v>6.27</v>
      </c>
      <c r="F26" s="13">
        <f>Raw_Efficiency_Score!F13</f>
        <v>84.38</v>
      </c>
      <c r="G26" s="3">
        <f>Raw_Efficiency_Score!G13</f>
        <v>12</v>
      </c>
      <c r="H26" t="str">
        <f>Raw_Efficiency_Score!H13</f>
        <v>Highly Efficient</v>
      </c>
    </row>
    <row r="27" spans="1:11" x14ac:dyDescent="0.3">
      <c r="A27" t="str">
        <f>Raw_Efficiency_Score!A14</f>
        <v>November Email Campaign</v>
      </c>
      <c r="B27" t="str">
        <f>Raw_Efficiency_Score!B14</f>
        <v>Email</v>
      </c>
      <c r="C27" s="2">
        <f>Raw_Efficiency_Score!C14</f>
        <v>388.14</v>
      </c>
      <c r="D27" s="2">
        <f>Raw_Efficiency_Score!D14</f>
        <v>7.97</v>
      </c>
      <c r="E27" s="2">
        <f>Raw_Efficiency_Score!E14</f>
        <v>6.1</v>
      </c>
      <c r="F27" s="13">
        <f>Raw_Efficiency_Score!F14</f>
        <v>81.94</v>
      </c>
      <c r="G27" s="3">
        <f>Raw_Efficiency_Score!G14</f>
        <v>12</v>
      </c>
      <c r="H27" t="str">
        <f>Raw_Efficiency_Score!H14</f>
        <v>Highly Efficient</v>
      </c>
    </row>
    <row r="28" spans="1:11" x14ac:dyDescent="0.3">
      <c r="A28" t="str">
        <f>Raw_Efficiency_Score!A15</f>
        <v>Black Friday Social Media</v>
      </c>
      <c r="B28" t="str">
        <f>Raw_Efficiency_Score!B15</f>
        <v>Social Media</v>
      </c>
      <c r="C28" s="2">
        <f>Raw_Efficiency_Score!C15</f>
        <v>391.53</v>
      </c>
      <c r="D28" s="2">
        <f>Raw_Efficiency_Score!D15</f>
        <v>7.11</v>
      </c>
      <c r="E28" s="2">
        <f>Raw_Efficiency_Score!E15</f>
        <v>5.37</v>
      </c>
      <c r="F28" s="13">
        <f>Raw_Efficiency_Score!F15</f>
        <v>81.38</v>
      </c>
      <c r="G28" s="3">
        <f>Raw_Efficiency_Score!G15</f>
        <v>12</v>
      </c>
      <c r="H28" t="str">
        <f>Raw_Efficiency_Score!H15</f>
        <v>Highly Efficient</v>
      </c>
    </row>
    <row r="29" spans="1:11" x14ac:dyDescent="0.3">
      <c r="A29" t="str">
        <f>Raw_Efficiency_Score!A16</f>
        <v>December Email Newsletter</v>
      </c>
      <c r="B29" t="str">
        <f>Raw_Efficiency_Score!B16</f>
        <v>Email</v>
      </c>
      <c r="C29" s="2">
        <f>Raw_Efficiency_Score!C16</f>
        <v>395.24</v>
      </c>
      <c r="D29" s="2">
        <f>Raw_Efficiency_Score!D16</f>
        <v>8.06</v>
      </c>
      <c r="E29" s="2">
        <f>Raw_Efficiency_Score!E16</f>
        <v>6.24</v>
      </c>
      <c r="F29" s="13">
        <f>Raw_Efficiency_Score!F16</f>
        <v>80.77</v>
      </c>
      <c r="G29" s="3">
        <f>Raw_Efficiency_Score!G16</f>
        <v>12</v>
      </c>
      <c r="H29" t="str">
        <f>Raw_Efficiency_Score!H16</f>
        <v>Highly Efficient</v>
      </c>
    </row>
    <row r="30" spans="1:11" x14ac:dyDescent="0.3">
      <c r="A30" t="str">
        <f>Raw_Efficiency_Score!A17</f>
        <v>Christmas Social Media</v>
      </c>
      <c r="B30" t="str">
        <f>Raw_Efficiency_Score!B17</f>
        <v>Social Media</v>
      </c>
      <c r="C30" s="2">
        <f>Raw_Efficiency_Score!C17</f>
        <v>353.1</v>
      </c>
      <c r="D30" s="2">
        <f>Raw_Efficiency_Score!D17</f>
        <v>7.06</v>
      </c>
      <c r="E30" s="2">
        <f>Raw_Efficiency_Score!E17</f>
        <v>5.33</v>
      </c>
      <c r="F30" s="13">
        <f>Raw_Efficiency_Score!F17</f>
        <v>88.28</v>
      </c>
      <c r="G30" s="3">
        <f>Raw_Efficiency_Score!G17</f>
        <v>12</v>
      </c>
      <c r="H30" t="str">
        <f>Raw_Efficiency_Score!H17</f>
        <v>Highly Efficient</v>
      </c>
    </row>
    <row r="31" spans="1:11" x14ac:dyDescent="0.3">
      <c r="A31" t="str">
        <f>Raw_Efficiency_Score!A18</f>
        <v>Year End Email Blast</v>
      </c>
      <c r="B31" t="str">
        <f>Raw_Efficiency_Score!B18</f>
        <v>Email</v>
      </c>
      <c r="C31" s="2">
        <f>Raw_Efficiency_Score!C18</f>
        <v>404.11</v>
      </c>
      <c r="D31" s="2">
        <f>Raw_Efficiency_Score!D18</f>
        <v>8.11</v>
      </c>
      <c r="E31" s="2">
        <f>Raw_Efficiency_Score!E18</f>
        <v>6.13</v>
      </c>
      <c r="F31" s="13">
        <f>Raw_Efficiency_Score!F18</f>
        <v>79.349999999999994</v>
      </c>
      <c r="G31" s="3">
        <f>Raw_Efficiency_Score!G18</f>
        <v>12</v>
      </c>
      <c r="H31" t="str">
        <f>Raw_Efficiency_Score!H18</f>
        <v>Highly Efficient</v>
      </c>
    </row>
    <row r="32" spans="1:11" x14ac:dyDescent="0.3">
      <c r="A32" t="str">
        <f>Raw_Efficiency_Score!A19</f>
        <v>Christmas Paid Ads</v>
      </c>
      <c r="B32" t="str">
        <f>Raw_Efficiency_Score!B19</f>
        <v>Paid Ads</v>
      </c>
      <c r="C32" s="2">
        <f>Raw_Efficiency_Score!C19</f>
        <v>348.09</v>
      </c>
      <c r="D32" s="2">
        <f>Raw_Efficiency_Score!D19</f>
        <v>5.85</v>
      </c>
      <c r="E32" s="2">
        <f>Raw_Efficiency_Score!E19</f>
        <v>5.39</v>
      </c>
      <c r="F32" s="13">
        <f>Raw_Efficiency_Score!F19</f>
        <v>89.27</v>
      </c>
      <c r="G32" s="3">
        <f>Raw_Efficiency_Score!G19</f>
        <v>11</v>
      </c>
      <c r="H32" t="str">
        <f>Raw_Efficiency_Score!H19</f>
        <v>Highly Efficient</v>
      </c>
    </row>
    <row r="33" spans="1:8" x14ac:dyDescent="0.3">
      <c r="A33" t="str">
        <f>Raw_Efficiency_Score!A20</f>
        <v>Year End Social Media</v>
      </c>
      <c r="B33" t="str">
        <f>Raw_Efficiency_Score!B20</f>
        <v>Social Media</v>
      </c>
      <c r="C33" s="2">
        <f>Raw_Efficiency_Score!C20</f>
        <v>307.77</v>
      </c>
      <c r="D33" s="2">
        <f>Raw_Efficiency_Score!D20</f>
        <v>6.78</v>
      </c>
      <c r="E33" s="2">
        <f>Raw_Efficiency_Score!E20</f>
        <v>5.25</v>
      </c>
      <c r="F33" s="13">
        <f>Raw_Efficiency_Score!F20</f>
        <v>98.1</v>
      </c>
      <c r="G33" s="3">
        <f>Raw_Efficiency_Score!G20</f>
        <v>11</v>
      </c>
      <c r="H33" t="str">
        <f>Raw_Efficiency_Score!H20</f>
        <v>Highly Efficient</v>
      </c>
    </row>
    <row r="34" spans="1:8" x14ac:dyDescent="0.3">
      <c r="A34" t="str">
        <f>Raw_Efficiency_Score!A21</f>
        <v>Diwali Paid Ads</v>
      </c>
      <c r="B34" t="str">
        <f>Raw_Efficiency_Score!B21</f>
        <v>Paid Ads</v>
      </c>
      <c r="C34" s="2">
        <f>Raw_Efficiency_Score!C21</f>
        <v>377.06</v>
      </c>
      <c r="D34" s="2">
        <f>Raw_Efficiency_Score!D21</f>
        <v>5.85</v>
      </c>
      <c r="E34" s="2">
        <f>Raw_Efficiency_Score!E21</f>
        <v>5.42</v>
      </c>
      <c r="F34" s="13">
        <f>Raw_Efficiency_Score!F21</f>
        <v>83.85</v>
      </c>
      <c r="G34" s="3">
        <f>Raw_Efficiency_Score!G21</f>
        <v>11</v>
      </c>
      <c r="H34" t="str">
        <f>Raw_Efficiency_Score!H21</f>
        <v>Highly Efficient</v>
      </c>
    </row>
    <row r="35" spans="1:8" x14ac:dyDescent="0.3">
      <c r="A35" t="str">
        <f>Raw_Efficiency_Score!A22</f>
        <v>Navratri Social Media</v>
      </c>
      <c r="B35" t="str">
        <f>Raw_Efficiency_Score!B22</f>
        <v>Social Media</v>
      </c>
      <c r="C35" s="2">
        <f>Raw_Efficiency_Score!C22</f>
        <v>261.11</v>
      </c>
      <c r="D35" s="2">
        <f>Raw_Efficiency_Score!D22</f>
        <v>7.14</v>
      </c>
      <c r="E35" s="2">
        <f>Raw_Efficiency_Score!E22</f>
        <v>5.2</v>
      </c>
      <c r="F35" s="13">
        <f>Raw_Efficiency_Score!F22</f>
        <v>83.08</v>
      </c>
      <c r="G35" s="3">
        <f>Raw_Efficiency_Score!G22</f>
        <v>10</v>
      </c>
      <c r="H35" t="str">
        <f>Raw_Efficiency_Score!H22</f>
        <v>Highly Efficient</v>
      </c>
    </row>
    <row r="36" spans="1:8" x14ac:dyDescent="0.3">
      <c r="A36" t="str">
        <f>Raw_Efficiency_Score!A23</f>
        <v>Navratri Paid Ads</v>
      </c>
      <c r="B36" t="str">
        <f>Raw_Efficiency_Score!B23</f>
        <v>Paid Ads</v>
      </c>
      <c r="C36" s="2">
        <f>Raw_Efficiency_Score!C23</f>
        <v>325.52999999999997</v>
      </c>
      <c r="D36" s="2">
        <f>Raw_Efficiency_Score!D23</f>
        <v>5.59</v>
      </c>
      <c r="E36" s="2">
        <f>Raw_Efficiency_Score!E23</f>
        <v>5.26</v>
      </c>
      <c r="F36" s="13">
        <f>Raw_Efficiency_Score!F23</f>
        <v>94</v>
      </c>
      <c r="G36" s="3">
        <f>Raw_Efficiency_Score!G23</f>
        <v>10</v>
      </c>
      <c r="H36" t="str">
        <f>Raw_Efficiency_Score!H23</f>
        <v>Highly Efficient</v>
      </c>
    </row>
    <row r="37" spans="1:8" x14ac:dyDescent="0.3">
      <c r="A37" t="str">
        <f>Raw_Efficiency_Score!A24</f>
        <v>Independence Day Social</v>
      </c>
      <c r="B37" t="str">
        <f>Raw_Efficiency_Score!B24</f>
        <v>Social Media</v>
      </c>
      <c r="C37" s="2">
        <f>Raw_Efficiency_Score!C24</f>
        <v>261.22000000000003</v>
      </c>
      <c r="D37" s="2">
        <f>Raw_Efficiency_Score!D24</f>
        <v>7.19</v>
      </c>
      <c r="E37" s="2">
        <f>Raw_Efficiency_Score!E24</f>
        <v>5.13</v>
      </c>
      <c r="F37" s="13">
        <f>Raw_Efficiency_Score!F24</f>
        <v>83.05</v>
      </c>
      <c r="G37" s="3">
        <f>Raw_Efficiency_Score!G24</f>
        <v>10</v>
      </c>
      <c r="H37" t="str">
        <f>Raw_Efficiency_Score!H24</f>
        <v>Highly Efficient</v>
      </c>
    </row>
    <row r="38" spans="1:8" x14ac:dyDescent="0.3">
      <c r="A38" t="str">
        <f>Raw_Efficiency_Score!A25</f>
        <v>Independence Day Paid Ads</v>
      </c>
      <c r="B38" t="str">
        <f>Raw_Efficiency_Score!B25</f>
        <v>Paid Ads</v>
      </c>
      <c r="C38" s="2">
        <f>Raw_Efficiency_Score!C25</f>
        <v>318.60000000000002</v>
      </c>
      <c r="D38" s="2">
        <f>Raw_Efficiency_Score!D25</f>
        <v>5.65</v>
      </c>
      <c r="E38" s="2">
        <f>Raw_Efficiency_Score!E25</f>
        <v>5.14</v>
      </c>
      <c r="F38" s="13">
        <f>Raw_Efficiency_Score!F25</f>
        <v>95.56</v>
      </c>
      <c r="G38" s="3">
        <f>Raw_Efficiency_Score!G25</f>
        <v>10</v>
      </c>
      <c r="H38" t="str">
        <f>Raw_Efficiency_Score!H25</f>
        <v>Highly Efficient</v>
      </c>
    </row>
    <row r="39" spans="1:8" x14ac:dyDescent="0.3">
      <c r="A39" t="str">
        <f>Raw_Efficiency_Score!A26</f>
        <v>Holi Social Media</v>
      </c>
      <c r="B39" t="str">
        <f>Raw_Efficiency_Score!B26</f>
        <v>Social Media</v>
      </c>
      <c r="C39" s="2">
        <f>Raw_Efficiency_Score!C26</f>
        <v>242.39</v>
      </c>
      <c r="D39" s="2">
        <f>Raw_Efficiency_Score!D26</f>
        <v>6.55</v>
      </c>
      <c r="E39" s="2">
        <f>Raw_Efficiency_Score!E26</f>
        <v>5.53</v>
      </c>
      <c r="F39" s="13">
        <f>Raw_Efficiency_Score!F26</f>
        <v>87.62</v>
      </c>
      <c r="G39" s="3">
        <f>Raw_Efficiency_Score!G26</f>
        <v>10</v>
      </c>
      <c r="H39" t="str">
        <f>Raw_Efficiency_Score!H26</f>
        <v>Highly Efficient</v>
      </c>
    </row>
    <row r="40" spans="1:8" x14ac:dyDescent="0.3">
      <c r="A40" t="str">
        <f>Raw_Efficiency_Score!A27</f>
        <v>Valentine Social Media</v>
      </c>
      <c r="B40" t="str">
        <f>Raw_Efficiency_Score!B27</f>
        <v>Social Media</v>
      </c>
      <c r="C40" s="2">
        <f>Raw_Efficiency_Score!C27</f>
        <v>275</v>
      </c>
      <c r="D40" s="2">
        <f>Raw_Efficiency_Score!D27</f>
        <v>7.1</v>
      </c>
      <c r="E40" s="2">
        <f>Raw_Efficiency_Score!E27</f>
        <v>5</v>
      </c>
      <c r="F40" s="13">
        <f>Raw_Efficiency_Score!F27</f>
        <v>80</v>
      </c>
      <c r="G40" s="3">
        <f>Raw_Efficiency_Score!G27</f>
        <v>10</v>
      </c>
      <c r="H40" t="str">
        <f>Raw_Efficiency_Score!H27</f>
        <v>Highly Efficient</v>
      </c>
    </row>
    <row r="41" spans="1:8" x14ac:dyDescent="0.3">
      <c r="A41" t="str">
        <f>Raw_Efficiency_Score!A28</f>
        <v>Valentine Paid Ads</v>
      </c>
      <c r="B41" t="str">
        <f>Raw_Efficiency_Score!B28</f>
        <v>Paid Ads</v>
      </c>
      <c r="C41" s="2">
        <f>Raw_Efficiency_Score!C28</f>
        <v>332.43</v>
      </c>
      <c r="D41" s="2">
        <f>Raw_Efficiency_Score!D28</f>
        <v>5.52</v>
      </c>
      <c r="E41" s="2">
        <f>Raw_Efficiency_Score!E28</f>
        <v>5</v>
      </c>
      <c r="F41" s="13">
        <f>Raw_Efficiency_Score!F28</f>
        <v>92.5</v>
      </c>
      <c r="G41" s="3">
        <f>Raw_Efficiency_Score!G28</f>
        <v>10</v>
      </c>
      <c r="H41" t="str">
        <f>Raw_Efficiency_Score!H28</f>
        <v>Highly Efficient</v>
      </c>
    </row>
    <row r="42" spans="1:8" x14ac:dyDescent="0.3">
      <c r="A42" t="str">
        <f>Raw_Efficiency_Score!A29</f>
        <v>New Year Social Media Push</v>
      </c>
      <c r="B42" t="str">
        <f>Raw_Efficiency_Score!B29</f>
        <v>Social Media</v>
      </c>
      <c r="C42" s="2">
        <f>Raw_Efficiency_Score!C29</f>
        <v>265.38</v>
      </c>
      <c r="D42" s="2">
        <f>Raw_Efficiency_Score!D29</f>
        <v>6.43</v>
      </c>
      <c r="E42" s="2">
        <f>Raw_Efficiency_Score!E29</f>
        <v>5.28</v>
      </c>
      <c r="F42" s="13">
        <f>Raw_Efficiency_Score!F29</f>
        <v>82.11</v>
      </c>
      <c r="G42" s="3">
        <f>Raw_Efficiency_Score!G29</f>
        <v>10</v>
      </c>
      <c r="H42" t="str">
        <f>Raw_Efficiency_Score!H29</f>
        <v>Highly Efficient</v>
      </c>
    </row>
    <row r="43" spans="1:8" x14ac:dyDescent="0.3">
      <c r="A43" t="str">
        <f>Raw_Efficiency_Score!A30</f>
        <v>Black Friday Paid Ads</v>
      </c>
      <c r="B43" t="str">
        <f>Raw_Efficiency_Score!B30</f>
        <v>Paid Ads</v>
      </c>
      <c r="C43" s="2">
        <f>Raw_Efficiency_Score!C30</f>
        <v>344.44</v>
      </c>
      <c r="D43" s="2">
        <f>Raw_Efficiency_Score!D30</f>
        <v>5.83</v>
      </c>
      <c r="E43" s="2">
        <f>Raw_Efficiency_Score!E30</f>
        <v>5.24</v>
      </c>
      <c r="F43" s="13">
        <f>Raw_Efficiency_Score!F30</f>
        <v>90</v>
      </c>
      <c r="G43" s="3">
        <f>Raw_Efficiency_Score!G30</f>
        <v>10</v>
      </c>
      <c r="H43" t="str">
        <f>Raw_Efficiency_Score!H30</f>
        <v>Highly Efficient</v>
      </c>
    </row>
    <row r="44" spans="1:8" x14ac:dyDescent="0.3">
      <c r="A44" t="str">
        <f>Raw_Efficiency_Score!A31</f>
        <v>Diwali Influencer Campaign</v>
      </c>
      <c r="B44" t="str">
        <f>Raw_Efficiency_Score!B31</f>
        <v>Influencer</v>
      </c>
      <c r="C44" s="2">
        <f>Raw_Efficiency_Score!C31</f>
        <v>211.86</v>
      </c>
      <c r="D44" s="2">
        <f>Raw_Efficiency_Score!D31</f>
        <v>6.77</v>
      </c>
      <c r="E44" s="2">
        <f>Raw_Efficiency_Score!E31</f>
        <v>5.48</v>
      </c>
      <c r="F44" s="13">
        <f>Raw_Efficiency_Score!F31</f>
        <v>128.26</v>
      </c>
      <c r="G44" s="3">
        <f>Raw_Efficiency_Score!G31</f>
        <v>9</v>
      </c>
      <c r="H44" t="str">
        <f>Raw_Efficiency_Score!H31</f>
        <v>Efficient</v>
      </c>
    </row>
    <row r="45" spans="1:8" x14ac:dyDescent="0.3">
      <c r="A45" t="str">
        <f>Raw_Efficiency_Score!A32</f>
        <v>January Google Ads</v>
      </c>
      <c r="B45" t="str">
        <f>Raw_Efficiency_Score!B32</f>
        <v>Paid Ads</v>
      </c>
      <c r="C45" s="2">
        <f>Raw_Efficiency_Score!C32</f>
        <v>306.77999999999997</v>
      </c>
      <c r="D45" s="2">
        <f>Raw_Efficiency_Score!D32</f>
        <v>4.8099999999999996</v>
      </c>
      <c r="E45" s="2">
        <f>Raw_Efficiency_Score!E32</f>
        <v>4.8</v>
      </c>
      <c r="F45" s="13">
        <f>Raw_Efficiency_Score!F32</f>
        <v>98.33</v>
      </c>
      <c r="G45" s="3">
        <f>Raw_Efficiency_Score!G32</f>
        <v>9</v>
      </c>
      <c r="H45" t="str">
        <f>Raw_Efficiency_Score!H32</f>
        <v>Efficient</v>
      </c>
    </row>
    <row r="46" spans="1:8" x14ac:dyDescent="0.3">
      <c r="A46" t="str">
        <f>Raw_Efficiency_Score!A33</f>
        <v>Holi Paid Ads</v>
      </c>
      <c r="B46" t="str">
        <f>Raw_Efficiency_Score!B33</f>
        <v>Paid Ads</v>
      </c>
      <c r="C46" s="2">
        <f>Raw_Efficiency_Score!C33</f>
        <v>306.25</v>
      </c>
      <c r="D46" s="2">
        <f>Raw_Efficiency_Score!D33</f>
        <v>5</v>
      </c>
      <c r="E46" s="2">
        <f>Raw_Efficiency_Score!E33</f>
        <v>4.8099999999999996</v>
      </c>
      <c r="F46" s="13">
        <f>Raw_Efficiency_Score!F33</f>
        <v>98.46</v>
      </c>
      <c r="G46" s="3">
        <f>Raw_Efficiency_Score!G33</f>
        <v>9</v>
      </c>
      <c r="H46" t="str">
        <f>Raw_Efficiency_Score!H33</f>
        <v>Efficient</v>
      </c>
    </row>
    <row r="47" spans="1:8" x14ac:dyDescent="0.3">
      <c r="A47" t="str">
        <f>Raw_Efficiency_Score!A34</f>
        <v>July Social Media</v>
      </c>
      <c r="B47" t="str">
        <f>Raw_Efficiency_Score!B34</f>
        <v>Social Media</v>
      </c>
      <c r="C47" s="2">
        <f>Raw_Efficiency_Score!C34</f>
        <v>206.67</v>
      </c>
      <c r="D47" s="2">
        <f>Raw_Efficiency_Score!D34</f>
        <v>6.73</v>
      </c>
      <c r="E47" s="2">
        <f>Raw_Efficiency_Score!E34</f>
        <v>4.97</v>
      </c>
      <c r="F47" s="13">
        <f>Raw_Efficiency_Score!F34</f>
        <v>97.83</v>
      </c>
      <c r="G47" s="3">
        <f>Raw_Efficiency_Score!G34</f>
        <v>9</v>
      </c>
      <c r="H47" t="str">
        <f>Raw_Efficiency_Score!H34</f>
        <v>Efficient</v>
      </c>
    </row>
    <row r="48" spans="1:8" x14ac:dyDescent="0.3">
      <c r="A48" t="str">
        <f>Raw_Efficiency_Score!A35</f>
        <v>Navratri Influencer</v>
      </c>
      <c r="B48" t="str">
        <f>Raw_Efficiency_Score!B35</f>
        <v>Influencer</v>
      </c>
      <c r="C48" s="2">
        <f>Raw_Efficiency_Score!C35</f>
        <v>202.04</v>
      </c>
      <c r="D48" s="2">
        <f>Raw_Efficiency_Score!D35</f>
        <v>6.73</v>
      </c>
      <c r="E48" s="2">
        <f>Raw_Efficiency_Score!E35</f>
        <v>5.29</v>
      </c>
      <c r="F48" s="13">
        <f>Raw_Efficiency_Score!F35</f>
        <v>132.43</v>
      </c>
      <c r="G48" s="3">
        <f>Raw_Efficiency_Score!G35</f>
        <v>9</v>
      </c>
      <c r="H48" t="str">
        <f>Raw_Efficiency_Score!H35</f>
        <v>Efficient</v>
      </c>
    </row>
    <row r="49" spans="1:8" x14ac:dyDescent="0.3">
      <c r="A49" t="str">
        <f>Raw_Efficiency_Score!A36</f>
        <v>May Social Media Boost</v>
      </c>
      <c r="B49" t="str">
        <f>Raw_Efficiency_Score!B36</f>
        <v>Social Media</v>
      </c>
      <c r="C49" s="2">
        <f>Raw_Efficiency_Score!C36</f>
        <v>218.07</v>
      </c>
      <c r="D49" s="2">
        <f>Raw_Efficiency_Score!D36</f>
        <v>6.3</v>
      </c>
      <c r="E49" s="2">
        <f>Raw_Efficiency_Score!E36</f>
        <v>5.18</v>
      </c>
      <c r="F49" s="13">
        <f>Raw_Efficiency_Score!F36</f>
        <v>94.32</v>
      </c>
      <c r="G49" s="3">
        <f>Raw_Efficiency_Score!G36</f>
        <v>8</v>
      </c>
      <c r="H49" t="str">
        <f>Raw_Efficiency_Score!H36</f>
        <v>Efficient</v>
      </c>
    </row>
    <row r="50" spans="1:8" x14ac:dyDescent="0.3">
      <c r="A50" t="str">
        <f>Raw_Efficiency_Score!A37</f>
        <v>April Social Media</v>
      </c>
      <c r="B50" t="str">
        <f>Raw_Efficiency_Score!B37</f>
        <v>Social Media</v>
      </c>
      <c r="C50" s="2">
        <f>Raw_Efficiency_Score!C37</f>
        <v>220.55</v>
      </c>
      <c r="D50" s="2">
        <f>Raw_Efficiency_Score!D37</f>
        <v>6</v>
      </c>
      <c r="E50" s="2">
        <f>Raw_Efficiency_Score!E37</f>
        <v>5.2</v>
      </c>
      <c r="F50" s="13">
        <f>Raw_Efficiency_Score!F37</f>
        <v>93.59</v>
      </c>
      <c r="G50" s="3">
        <f>Raw_Efficiency_Score!G37</f>
        <v>8</v>
      </c>
      <c r="H50" t="str">
        <f>Raw_Efficiency_Score!H37</f>
        <v>Efficient</v>
      </c>
    </row>
    <row r="51" spans="1:8" x14ac:dyDescent="0.3">
      <c r="A51" t="str">
        <f>Raw_Efficiency_Score!A38</f>
        <v>April Google Ads</v>
      </c>
      <c r="B51" t="str">
        <f>Raw_Efficiency_Score!B38</f>
        <v>Paid Ads</v>
      </c>
      <c r="C51" s="2">
        <f>Raw_Efficiency_Score!C38</f>
        <v>262.95999999999998</v>
      </c>
      <c r="D51" s="2">
        <f>Raw_Efficiency_Score!D38</f>
        <v>4.58</v>
      </c>
      <c r="E51" s="2">
        <f>Raw_Efficiency_Score!E38</f>
        <v>4.45</v>
      </c>
      <c r="F51" s="13">
        <f>Raw_Efficiency_Score!F38</f>
        <v>110.2</v>
      </c>
      <c r="G51" s="3">
        <f>Raw_Efficiency_Score!G38</f>
        <v>8</v>
      </c>
      <c r="H51" t="str">
        <f>Raw_Efficiency_Score!H38</f>
        <v>Efficient</v>
      </c>
    </row>
    <row r="52" spans="1:8" x14ac:dyDescent="0.3">
      <c r="A52" t="str">
        <f>Raw_Efficiency_Score!A39</f>
        <v>Year End Influencer</v>
      </c>
      <c r="B52" t="str">
        <f>Raw_Efficiency_Score!B39</f>
        <v>Influencer</v>
      </c>
      <c r="C52" s="2">
        <f>Raw_Efficiency_Score!C39</f>
        <v>205.45</v>
      </c>
      <c r="D52" s="2">
        <f>Raw_Efficiency_Score!D39</f>
        <v>6.55</v>
      </c>
      <c r="E52" s="2">
        <f>Raw_Efficiency_Score!E39</f>
        <v>5.53</v>
      </c>
      <c r="F52" s="13">
        <f>Raw_Efficiency_Score!F39</f>
        <v>130.94999999999999</v>
      </c>
      <c r="G52" s="3">
        <f>Raw_Efficiency_Score!G39</f>
        <v>8</v>
      </c>
      <c r="H52" t="str">
        <f>Raw_Efficiency_Score!H39</f>
        <v>Efficient</v>
      </c>
    </row>
    <row r="53" spans="1:8" x14ac:dyDescent="0.3">
      <c r="A53" t="str">
        <f>Raw_Efficiency_Score!A40</f>
        <v>September Social Media</v>
      </c>
      <c r="B53" t="str">
        <f>Raw_Efficiency_Score!B40</f>
        <v>Social Media</v>
      </c>
      <c r="C53" s="2">
        <f>Raw_Efficiency_Score!C40</f>
        <v>193.02</v>
      </c>
      <c r="D53" s="2">
        <f>Raw_Efficiency_Score!D40</f>
        <v>6.23</v>
      </c>
      <c r="E53" s="2">
        <f>Raw_Efficiency_Score!E40</f>
        <v>5.09</v>
      </c>
      <c r="F53" s="13">
        <f>Raw_Efficiency_Score!F40</f>
        <v>102.38</v>
      </c>
      <c r="G53" s="3">
        <f>Raw_Efficiency_Score!G40</f>
        <v>8</v>
      </c>
      <c r="H53" t="str">
        <f>Raw_Efficiency_Score!H40</f>
        <v>Efficient</v>
      </c>
    </row>
    <row r="54" spans="1:8" x14ac:dyDescent="0.3">
      <c r="A54" t="str">
        <f>Raw_Efficiency_Score!A41</f>
        <v>May Influencer Campaign</v>
      </c>
      <c r="B54" t="str">
        <f>Raw_Efficiency_Score!B41</f>
        <v>Influencer</v>
      </c>
      <c r="C54" s="2">
        <f>Raw_Efficiency_Score!C41</f>
        <v>180.9</v>
      </c>
      <c r="D54" s="2">
        <f>Raw_Efficiency_Score!D41</f>
        <v>6.58</v>
      </c>
      <c r="E54" s="2">
        <f>Raw_Efficiency_Score!E41</f>
        <v>5</v>
      </c>
      <c r="F54" s="13">
        <f>Raw_Efficiency_Score!F41</f>
        <v>142.4</v>
      </c>
      <c r="G54" s="3">
        <f>Raw_Efficiency_Score!G41</f>
        <v>7</v>
      </c>
      <c r="H54" t="str">
        <f>Raw_Efficiency_Score!H41</f>
        <v>Efficient</v>
      </c>
    </row>
    <row r="55" spans="1:8" x14ac:dyDescent="0.3">
      <c r="A55" t="str">
        <f>Raw_Efficiency_Score!A42</f>
        <v>February Influencer Campaign</v>
      </c>
      <c r="B55" t="str">
        <f>Raw_Efficiency_Score!B42</f>
        <v>Influencer</v>
      </c>
      <c r="C55" s="2">
        <f>Raw_Efficiency_Score!C42</f>
        <v>187.18</v>
      </c>
      <c r="D55" s="2">
        <f>Raw_Efficiency_Score!D42</f>
        <v>6.67</v>
      </c>
      <c r="E55" s="2">
        <f>Raw_Efficiency_Score!E42</f>
        <v>5</v>
      </c>
      <c r="F55" s="13">
        <f>Raw_Efficiency_Score!F42</f>
        <v>139.29</v>
      </c>
      <c r="G55" s="3">
        <f>Raw_Efficiency_Score!G42</f>
        <v>7</v>
      </c>
      <c r="H55" t="str">
        <f>Raw_Efficiency_Score!H42</f>
        <v>Efficient</v>
      </c>
    </row>
    <row r="56" spans="1:8" x14ac:dyDescent="0.3">
      <c r="A56" t="str">
        <f>Raw_Efficiency_Score!A43</f>
        <v>July Google Ads</v>
      </c>
      <c r="B56" t="str">
        <f>Raw_Efficiency_Score!B43</f>
        <v>Paid Ads</v>
      </c>
      <c r="C56" s="2">
        <f>Raw_Efficiency_Score!C43</f>
        <v>254.43</v>
      </c>
      <c r="D56" s="2">
        <f>Raw_Efficiency_Score!D43</f>
        <v>5</v>
      </c>
      <c r="E56" s="2">
        <f>Raw_Efficiency_Score!E43</f>
        <v>5</v>
      </c>
      <c r="F56" s="13">
        <f>Raw_Efficiency_Score!F43</f>
        <v>112.86</v>
      </c>
      <c r="G56" s="3">
        <f>Raw_Efficiency_Score!G43</f>
        <v>7</v>
      </c>
      <c r="H56" t="str">
        <f>Raw_Efficiency_Score!H43</f>
        <v>Efficient</v>
      </c>
    </row>
    <row r="57" spans="1:8" x14ac:dyDescent="0.3">
      <c r="A57" t="str">
        <f>Raw_Efficiency_Score!A44</f>
        <v>August Influencer Campaign</v>
      </c>
      <c r="B57" t="str">
        <f>Raw_Efficiency_Score!B44</f>
        <v>Influencer</v>
      </c>
      <c r="C57" s="2">
        <f>Raw_Efficiency_Score!C44</f>
        <v>179.07</v>
      </c>
      <c r="D57" s="2">
        <f>Raw_Efficiency_Score!D44</f>
        <v>6.67</v>
      </c>
      <c r="E57" s="2">
        <f>Raw_Efficiency_Score!E44</f>
        <v>5</v>
      </c>
      <c r="F57" s="13">
        <f>Raw_Efficiency_Score!F44</f>
        <v>143.33000000000001</v>
      </c>
      <c r="G57" s="3">
        <f>Raw_Efficiency_Score!G44</f>
        <v>7</v>
      </c>
      <c r="H57" t="str">
        <f>Raw_Efficiency_Score!H44</f>
        <v>Efficient</v>
      </c>
    </row>
    <row r="58" spans="1:8" x14ac:dyDescent="0.3">
      <c r="A58" t="str">
        <f>Raw_Efficiency_Score!A45</f>
        <v>June Paid Ads</v>
      </c>
      <c r="B58" t="str">
        <f>Raw_Efficiency_Score!B45</f>
        <v>Paid Ads</v>
      </c>
      <c r="C58" s="2">
        <f>Raw_Efficiency_Score!C45</f>
        <v>233.33</v>
      </c>
      <c r="D58" s="2">
        <f>Raw_Efficiency_Score!D45</f>
        <v>4.71</v>
      </c>
      <c r="E58" s="2">
        <f>Raw_Efficiency_Score!E45</f>
        <v>4.79</v>
      </c>
      <c r="F58" s="13">
        <f>Raw_Efficiency_Score!F45</f>
        <v>120</v>
      </c>
      <c r="G58" s="3">
        <f>Raw_Efficiency_Score!G45</f>
        <v>6</v>
      </c>
      <c r="H58" t="str">
        <f>Raw_Efficiency_Score!H45</f>
        <v>Average</v>
      </c>
    </row>
    <row r="59" spans="1:8" x14ac:dyDescent="0.3">
      <c r="A59" t="str">
        <f>Raw_Efficiency_Score!A46</f>
        <v>Mid Year SMS Blast</v>
      </c>
      <c r="B59" t="str">
        <f>Raw_Efficiency_Score!B46</f>
        <v>SMS</v>
      </c>
      <c r="C59" s="2">
        <f>Raw_Efficiency_Score!C46</f>
        <v>33.33</v>
      </c>
      <c r="D59" s="2">
        <f>Raw_Efficiency_Score!D46</f>
        <v>4.2699999999999996</v>
      </c>
      <c r="E59" s="2">
        <f>Raw_Efficiency_Score!E46</f>
        <v>3.43</v>
      </c>
      <c r="F59" s="13">
        <f>Raw_Efficiency_Score!F46</f>
        <v>225</v>
      </c>
      <c r="G59" s="3">
        <f>Raw_Efficiency_Score!G46</f>
        <v>4</v>
      </c>
      <c r="H59" t="str">
        <f>Raw_Efficiency_Score!H46</f>
        <v>Average</v>
      </c>
    </row>
    <row r="60" spans="1:8" x14ac:dyDescent="0.3">
      <c r="A60" t="str">
        <f>Raw_Efficiency_Score!A47</f>
        <v>Diwali SMS Blast</v>
      </c>
      <c r="B60" t="str">
        <f>Raw_Efficiency_Score!B47</f>
        <v>SMS</v>
      </c>
      <c r="C60" s="2">
        <f>Raw_Efficiency_Score!C47</f>
        <v>22.73</v>
      </c>
      <c r="D60" s="2">
        <f>Raw_Efficiency_Score!D47</f>
        <v>4.7300000000000004</v>
      </c>
      <c r="E60" s="2">
        <f>Raw_Efficiency_Score!E47</f>
        <v>3.46</v>
      </c>
      <c r="F60" s="13">
        <f>Raw_Efficiency_Score!F47</f>
        <v>244.44</v>
      </c>
      <c r="G60" s="3">
        <f>Raw_Efficiency_Score!G47</f>
        <v>4</v>
      </c>
      <c r="H60" t="str">
        <f>Raw_Efficiency_Score!H47</f>
        <v>Average</v>
      </c>
    </row>
    <row r="61" spans="1:8" x14ac:dyDescent="0.3">
      <c r="A61" t="str">
        <f>Raw_Efficiency_Score!A48</f>
        <v>January SMS Campaign</v>
      </c>
      <c r="B61" t="str">
        <f>Raw_Efficiency_Score!B48</f>
        <v>SMS</v>
      </c>
      <c r="C61" s="2">
        <f>Raw_Efficiency_Score!C48</f>
        <v>55.17</v>
      </c>
      <c r="D61" s="2">
        <f>Raw_Efficiency_Score!D48</f>
        <v>4.74</v>
      </c>
      <c r="E61" s="2">
        <f>Raw_Efficiency_Score!E48</f>
        <v>3.33</v>
      </c>
      <c r="F61" s="13">
        <f>Raw_Efficiency_Score!F48</f>
        <v>193.33</v>
      </c>
      <c r="G61" s="3">
        <f>Raw_Efficiency_Score!G48</f>
        <v>4</v>
      </c>
      <c r="H61" t="str">
        <f>Raw_Efficiency_Score!H48</f>
        <v>Average</v>
      </c>
    </row>
    <row r="62" spans="1:8" x14ac:dyDescent="0.3">
      <c r="A62" t="str">
        <f>Raw_Efficiency_Score!A49</f>
        <v>Holi SMS Campaign</v>
      </c>
      <c r="B62" t="str">
        <f>Raw_Efficiency_Score!B49</f>
        <v>SMS</v>
      </c>
      <c r="C62" s="2">
        <f>Raw_Efficiency_Score!C49</f>
        <v>14.71</v>
      </c>
      <c r="D62" s="2">
        <f>Raw_Efficiency_Score!D49</f>
        <v>4.32</v>
      </c>
      <c r="E62" s="2">
        <f>Raw_Efficiency_Score!E49</f>
        <v>3.42</v>
      </c>
      <c r="F62" s="13">
        <f>Raw_Efficiency_Score!F49</f>
        <v>261.54000000000002</v>
      </c>
      <c r="G62" s="3">
        <f>Raw_Efficiency_Score!G49</f>
        <v>4</v>
      </c>
      <c r="H62" t="str">
        <f>Raw_Efficiency_Score!H49</f>
        <v>Average</v>
      </c>
    </row>
    <row r="63" spans="1:8" x14ac:dyDescent="0.3">
      <c r="A63" t="str">
        <f>Raw_Efficiency_Score!A50</f>
        <v>September SMS Campaign</v>
      </c>
      <c r="B63" t="str">
        <f>Raw_Efficiency_Score!B50</f>
        <v>SMS</v>
      </c>
      <c r="C63" s="2">
        <f>Raw_Efficiency_Score!C50</f>
        <v>-3.23</v>
      </c>
      <c r="D63" s="2">
        <f>Raw_Efficiency_Score!D50</f>
        <v>4.05</v>
      </c>
      <c r="E63" s="2">
        <f>Raw_Efficiency_Score!E50</f>
        <v>3.13</v>
      </c>
      <c r="F63" s="13">
        <f>Raw_Efficiency_Score!F50</f>
        <v>310</v>
      </c>
      <c r="G63" s="3">
        <f>Raw_Efficiency_Score!G50</f>
        <v>4</v>
      </c>
      <c r="H63" t="str">
        <f>Raw_Efficiency_Score!H50</f>
        <v>Average</v>
      </c>
    </row>
    <row r="64" spans="1:8" x14ac:dyDescent="0.3">
      <c r="A64" t="str">
        <f>Raw_Efficiency_Score!A51</f>
        <v>Year End SMS Campaign</v>
      </c>
      <c r="B64" t="str">
        <f>Raw_Efficiency_Score!B51</f>
        <v>SMS</v>
      </c>
      <c r="C64" s="2">
        <f>Raw_Efficiency_Score!C51</f>
        <v>7.69</v>
      </c>
      <c r="D64" s="2">
        <f>Raw_Efficiency_Score!D51</f>
        <v>4.57</v>
      </c>
      <c r="E64" s="2">
        <f>Raw_Efficiency_Score!E51</f>
        <v>3.33</v>
      </c>
      <c r="F64" s="13">
        <f>Raw_Efficiency_Score!F51</f>
        <v>278.57</v>
      </c>
      <c r="G64" s="3">
        <f>Raw_Efficiency_Score!G51</f>
        <v>4</v>
      </c>
      <c r="H64" t="str">
        <f>Raw_Efficiency_Score!H51</f>
        <v>Average</v>
      </c>
    </row>
  </sheetData>
  <mergeCells count="1">
    <mergeCell ref="A1:I1"/>
  </mergeCells>
  <conditionalFormatting sqref="G5:G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5:G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5:H64">
    <cfRule type="containsText" dxfId="4" priority="2" operator="containsText" text="Inefficient">
      <formula>NOT(ISERROR(SEARCH("Inefficient",H15)))</formula>
    </cfRule>
    <cfRule type="containsText" dxfId="3" priority="3" operator="containsText" text="Highly">
      <formula>NOT(ISERROR(SEARCH("Highly",H15)))</formula>
    </cfRule>
    <cfRule type="containsText" dxfId="2" priority="4" operator="containsText" text="Average">
      <formula>NOT(ISERROR(SEARCH("Average",H15)))</formula>
    </cfRule>
    <cfRule type="containsText" dxfId="1" priority="5" operator="containsText" text="Efficient">
      <formula>NOT(ISERROR(SEARCH("Efficient",H15)))</formula>
    </cfRule>
    <cfRule type="containsText" dxfId="0" priority="6" operator="containsText" text="Highly Efficient">
      <formula>NOT(ISERROR(SEARCH("Highly Efficient",H15)))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733CAF-DB42-4640-B569-245933D997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Raw_Campaign_Overview</vt:lpstr>
      <vt:lpstr>Raw_Channel_Spend</vt:lpstr>
      <vt:lpstr>Raw_Campaign_ROI</vt:lpstr>
      <vt:lpstr>Raw_Channel_ROI</vt:lpstr>
      <vt:lpstr>Raw_Efficiency_Score</vt:lpstr>
      <vt:lpstr>Summary_Dashboard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Rani</dc:creator>
  <cp:lastModifiedBy>Sandhya Rani</cp:lastModifiedBy>
  <dcterms:created xsi:type="dcterms:W3CDTF">2026-06-22T10:51:44Z</dcterms:created>
  <dcterms:modified xsi:type="dcterms:W3CDTF">2026-06-22T14:15:38Z</dcterms:modified>
</cp:coreProperties>
</file>